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khush\Downloads\"/>
    </mc:Choice>
  </mc:AlternateContent>
  <xr:revisionPtr revIDLastSave="0" documentId="8_{435E4BB8-BC71-4D06-B8B0-9CD888B27718}" xr6:coauthVersionLast="47" xr6:coauthVersionMax="47" xr10:uidLastSave="{00000000-0000-0000-0000-000000000000}"/>
  <bookViews>
    <workbookView xWindow="0" yWindow="0" windowWidth="23040" windowHeight="12240" firstSheet="1"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 l="1"/>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2"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<sst xmlns="http://schemas.openxmlformats.org/spreadsheetml/2006/main" count="16273" uniqueCount="50">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</sst>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 ;_-[$$-409]* \-#,##0.00\ ;_-[$$-409]* &quot;-&quot;??_ ;_-@_ "/>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4" fillId="33" borderId="0" xfId="0" applyFont="1" applyFill="1"/>
    <xf numFmtId="0" fontId="14" fillId="34" borderId="0" xfId="0" applyFont="1" applyFill="1"/>
    <xf numFmtId="0" fontId="19" fillId="34" borderId="0" xfId="0" applyFont="1" applyFill="1" applyAlignment="1">
      <alignment horizontal="left" vertical="center"/>
    </xf>
    <xf numFmtId="0" fontId="19" fillId="34" borderId="0" xfId="0" applyFont="1" applyFill="1" applyAlignment="1">
      <alignment horizontal="center" vertical="center"/>
    </xf>
    <xf numFmtId="0" fontId="20"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46F4-4563-856A-17979BBBC75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46F4-4563-856A-17979BBBC759}"/>
            </c:ext>
          </c:extLst>
        </c:ser>
        <c:dLbls>
          <c:showLegendKey val="0"/>
          <c:showVal val="0"/>
          <c:showCatName val="0"/>
          <c:showSerName val="0"/>
          <c:showPercent val="0"/>
          <c:showBubbleSize val="0"/>
        </c:dLbls>
        <c:gapWidth val="219"/>
        <c:overlap val="-27"/>
        <c:axId val="1211100496"/>
        <c:axId val="341206064"/>
      </c:barChart>
      <c:catAx>
        <c:axId val="121110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06064"/>
        <c:crosses val="autoZero"/>
        <c:auto val="1"/>
        <c:lblAlgn val="ctr"/>
        <c:lblOffset val="100"/>
        <c:noMultiLvlLbl val="0"/>
      </c:catAx>
      <c:valAx>
        <c:axId val="34120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100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a:t>
            </a:r>
            <a:r>
              <a:rPr lang="en-IN" baseline="0"/>
              <a:t> Commute</a:t>
            </a:r>
            <a:endParaRPr lang="en-IN"/>
          </a:p>
        </c:rich>
      </c:tx>
      <c:layout>
        <c:manualLayout>
          <c:xMode val="edge"/>
          <c:yMode val="edge"/>
          <c:x val="0.30916561761803835"/>
          <c:y val="0.1152919202689816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9AC-4BB7-B4E9-279CB4767DD9}"/>
            </c:ext>
          </c:extLst>
        </c:ser>
        <c:ser>
          <c:idx val="1"/>
          <c:order val="1"/>
          <c:tx>
            <c:strRef>
              <c:f>'Pivot Table'!$C$26:$C$27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9AC-4BB7-B4E9-279CB4767DD9}"/>
            </c:ext>
          </c:extLst>
        </c:ser>
        <c:dLbls>
          <c:showLegendKey val="0"/>
          <c:showVal val="0"/>
          <c:showCatName val="0"/>
          <c:showSerName val="0"/>
          <c:showPercent val="0"/>
          <c:showBubbleSize val="0"/>
        </c:dLbls>
        <c:marker val="1"/>
        <c:smooth val="0"/>
        <c:axId val="401419232"/>
        <c:axId val="405683728"/>
      </c:lineChart>
      <c:catAx>
        <c:axId val="4014192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baseline="0"/>
                  <a:t>Commute Distance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5683728"/>
        <c:crosses val="autoZero"/>
        <c:auto val="1"/>
        <c:lblAlgn val="ctr"/>
        <c:lblOffset val="100"/>
        <c:noMultiLvlLbl val="0"/>
      </c:catAx>
      <c:valAx>
        <c:axId val="4056837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141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E6E-47FD-B675-A693CF35B126}"/>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E6E-47FD-B675-A693CF35B126}"/>
            </c:ext>
          </c:extLst>
        </c:ser>
        <c:dLbls>
          <c:showLegendKey val="0"/>
          <c:showVal val="0"/>
          <c:showCatName val="0"/>
          <c:showSerName val="0"/>
          <c:showPercent val="0"/>
          <c:showBubbleSize val="0"/>
        </c:dLbls>
        <c:marker val="1"/>
        <c:smooth val="0"/>
        <c:axId val="1017871327"/>
        <c:axId val="899009391"/>
      </c:lineChart>
      <c:catAx>
        <c:axId val="1017871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09391"/>
        <c:crosses val="autoZero"/>
        <c:auto val="1"/>
        <c:lblAlgn val="ctr"/>
        <c:lblOffset val="100"/>
        <c:noMultiLvlLbl val="0"/>
      </c:catAx>
      <c:valAx>
        <c:axId val="89900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87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3ECF-446A-B73A-503254A6E19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3ECF-446A-B73A-503254A6E199}"/>
            </c:ext>
          </c:extLst>
        </c:ser>
        <c:dLbls>
          <c:showLegendKey val="0"/>
          <c:showVal val="0"/>
          <c:showCatName val="0"/>
          <c:showSerName val="0"/>
          <c:showPercent val="0"/>
          <c:showBubbleSize val="0"/>
        </c:dLbls>
        <c:gapWidth val="219"/>
        <c:overlap val="-27"/>
        <c:axId val="1211100496"/>
        <c:axId val="341206064"/>
      </c:barChart>
      <c:catAx>
        <c:axId val="121110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06064"/>
        <c:crosses val="autoZero"/>
        <c:auto val="1"/>
        <c:lblAlgn val="ctr"/>
        <c:lblOffset val="100"/>
        <c:noMultiLvlLbl val="0"/>
      </c:catAx>
      <c:valAx>
        <c:axId val="34120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100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027-4CBA-9986-C15AF3ECDD19}"/>
            </c:ext>
          </c:extLst>
        </c:ser>
        <c:ser>
          <c:idx val="1"/>
          <c:order val="1"/>
          <c:tx>
            <c:strRef>
              <c:f>'Pivot Table'!$C$26:$C$27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027-4CBA-9986-C15AF3ECDD19}"/>
            </c:ext>
          </c:extLst>
        </c:ser>
        <c:dLbls>
          <c:showLegendKey val="0"/>
          <c:showVal val="0"/>
          <c:showCatName val="0"/>
          <c:showSerName val="0"/>
          <c:showPercent val="0"/>
          <c:showBubbleSize val="0"/>
        </c:dLbls>
        <c:marker val="1"/>
        <c:smooth val="0"/>
        <c:axId val="401419232"/>
        <c:axId val="405683728"/>
      </c:lineChart>
      <c:catAx>
        <c:axId val="4014192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baseline="0"/>
                  <a:t>Commute Distance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5683728"/>
        <c:crosses val="autoZero"/>
        <c:auto val="1"/>
        <c:lblAlgn val="ctr"/>
        <c:lblOffset val="100"/>
        <c:noMultiLvlLbl val="0"/>
      </c:catAx>
      <c:valAx>
        <c:axId val="4056837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141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C99-4810-908B-AE4068FA679D}"/>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C99-4810-908B-AE4068FA679D}"/>
            </c:ext>
          </c:extLst>
        </c:ser>
        <c:dLbls>
          <c:showLegendKey val="0"/>
          <c:showVal val="0"/>
          <c:showCatName val="0"/>
          <c:showSerName val="0"/>
          <c:showPercent val="0"/>
          <c:showBubbleSize val="0"/>
        </c:dLbls>
        <c:marker val="1"/>
        <c:smooth val="0"/>
        <c:axId val="1017871327"/>
        <c:axId val="899009391"/>
      </c:lineChart>
      <c:catAx>
        <c:axId val="1017871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09391"/>
        <c:crosses val="autoZero"/>
        <c:auto val="1"/>
        <c:lblAlgn val="ctr"/>
        <c:lblOffset val="100"/>
        <c:noMultiLvlLbl val="0"/>
      </c:catAx>
      <c:valAx>
        <c:axId val="89900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87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51312335958008"/>
          <c:y val="0.2572178477690289"/>
          <c:w val="0.67855489938757652"/>
          <c:h val="0.65853091280256637"/>
        </c:manualLayout>
      </c:layout>
      <c:lineChart>
        <c:grouping val="standard"/>
        <c:varyColors val="0"/>
        <c:ser>
          <c:idx val="0"/>
          <c:order val="0"/>
          <c:tx>
            <c:strRef>
              <c:f>'Pivot Table'!$B$74:$B$75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Table'!$A$76:$A$129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Table'!$B$76:$B$129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A95-4C68-9E60-BC4CCA61202A}"/>
            </c:ext>
          </c:extLst>
        </c:ser>
        <c:ser>
          <c:idx val="1"/>
          <c:order val="1"/>
          <c:tx>
            <c:strRef>
              <c:f>'Pivot Table'!$C$74:$C$75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Table'!$A$76:$A$129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Table'!$C$76:$C$129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EA95-4C68-9E60-BC4CCA61202A}"/>
            </c:ext>
          </c:extLst>
        </c:ser>
        <c:dLbls>
          <c:showLegendKey val="0"/>
          <c:showVal val="0"/>
          <c:showCatName val="0"/>
          <c:showSerName val="0"/>
          <c:showPercent val="0"/>
          <c:showBubbleSize val="0"/>
        </c:dLbls>
        <c:marker val="1"/>
        <c:smooth val="0"/>
        <c:axId val="901460207"/>
        <c:axId val="431932943"/>
      </c:lineChart>
      <c:catAx>
        <c:axId val="90146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32943"/>
        <c:crosses val="autoZero"/>
        <c:auto val="1"/>
        <c:lblAlgn val="ctr"/>
        <c:lblOffset val="100"/>
        <c:noMultiLvlLbl val="0"/>
      </c:catAx>
      <c:valAx>
        <c:axId val="43193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46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514708</xdr:colOff>
      <xdr:row>5</xdr:row>
      <xdr:rowOff>42338</xdr:rowOff>
    </xdr:from>
    <xdr:to>
      <xdr:col>8</xdr:col>
      <xdr:colOff>226979</xdr:colOff>
      <xdr:row>19</xdr:row>
      <xdr:rowOff>64325</xdr:rowOff>
    </xdr:to>
    <xdr:graphicFrame macro="">
      <xdr:nvGraphicFramePr>
        <xdr:cNvPr id="3" name="Chart 2">
          <a:extLst>
            <a:ext uri="{FF2B5EF4-FFF2-40B4-BE49-F238E27FC236}">
              <a16:creationId xmlns:a16="http://schemas.microsoft.com/office/drawing/2014/main" id="{B9B9D7B1-D53E-4E2A-994D-5DB6DBD0A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514452</xdr:colOff>
      <xdr:row>19</xdr:row>
      <xdr:rowOff>110030</xdr:rowOff>
    </xdr:from>
    <xdr:to>
      <xdr:col>14</xdr:col>
      <xdr:colOff>8194</xdr:colOff>
      <xdr:row>32</xdr:row>
      <xdr:rowOff>41277</xdr:rowOff>
    </xdr:to>
    <xdr:graphicFrame macro="">
      <xdr:nvGraphicFramePr>
        <xdr:cNvPr id="5" name="Chart 4">
          <a:extLst>
            <a:ext uri="{FF2B5EF4-FFF2-40B4-BE49-F238E27FC236}">
              <a16:creationId xmlns:a16="http://schemas.microsoft.com/office/drawing/2014/main" id="{CE212C7D-0C62-451D-9301-2761544E0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261026</xdr:colOff>
      <xdr:row>5</xdr:row>
      <xdr:rowOff>42997</xdr:rowOff>
    </xdr:from>
    <xdr:to>
      <xdr:col>13</xdr:col>
      <xdr:colOff>599873</xdr:colOff>
      <xdr:row>19</xdr:row>
      <xdr:rowOff>69273</xdr:rowOff>
    </xdr:to>
    <xdr:graphicFrame macro="">
      <xdr:nvGraphicFramePr>
        <xdr:cNvPr id="7" name="Chart 6">
          <a:extLst>
            <a:ext uri="{FF2B5EF4-FFF2-40B4-BE49-F238E27FC236}">
              <a16:creationId xmlns:a16="http://schemas.microsoft.com/office/drawing/2014/main" id="{8BCD9E91-9642-47C9-BA28-65CE1E001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121596</xdr:colOff>
      <xdr:row>0</xdr:row>
      <xdr:rowOff>48638</xdr:rowOff>
    </xdr:from>
    <xdr:to>
      <xdr:col>13</xdr:col>
      <xdr:colOff>405320</xdr:colOff>
      <xdr:row>4</xdr:row>
      <xdr:rowOff>0</xdr:rowOff>
    </xdr:to>
    <xdr:sp macro="" textlink="">
      <xdr:nvSpPr>
        <xdr:cNvPr id="2" name="Rectangle 1">
          <a:extLst>
            <a:ext uri="{FF2B5EF4-FFF2-40B4-BE49-F238E27FC236}">
              <a16:creationId xmlns:a16="http://schemas.microsoft.com/office/drawing/2014/main" id="{196DEAB5-824E-9F72-8F58-6C166EDE09DF}"/>
            </a:ext>
          </a:extLst>
        </xdr:cNvPr>
        <xdr:cNvSpPr/>
      </xdr:nvSpPr>
      <xdr:spPr>
        <a:xfrm>
          <a:off x="121596" y="48638"/>
          <a:ext cx="8187447" cy="737681"/>
        </a:xfrm>
        <a:prstGeom prst="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200" b="1"/>
            <a:t>Bike</a:t>
          </a:r>
          <a:r>
            <a:rPr lang="en-IN" sz="4200" b="1" baseline="0"/>
            <a:t> Sales Dashboard</a:t>
          </a:r>
          <a:endParaRPr lang="en-IN" sz="4200" b="1"/>
        </a:p>
      </xdr:txBody>
    </xdr:sp>
    <xdr:clientData/>
  </xdr:twoCellAnchor>
  <xdr:twoCellAnchor editAs="oneCell">
    <xdr:from>
      <xdr:col>0</xdr:col>
      <xdr:colOff>32426</xdr:colOff>
      <xdr:row>5</xdr:row>
      <xdr:rowOff>47828</xdr:rowOff>
    </xdr:from>
    <xdr:to>
      <xdr:col>2</xdr:col>
      <xdr:colOff>486382</xdr:colOff>
      <xdr:row>9</xdr:row>
      <xdr:rowOff>154022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7E518491-1EFA-1DE3-0F2E-F3F44585CD2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2426" y="883570"/>
              <a:ext cx="1666601" cy="827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50584</xdr:colOff>
      <xdr:row>16</xdr:row>
      <xdr:rowOff>48639</xdr:rowOff>
    </xdr:from>
    <xdr:to>
      <xdr:col>2</xdr:col>
      <xdr:colOff>478277</xdr:colOff>
      <xdr:row>25</xdr:row>
      <xdr:rowOff>16213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A223468-EAB0-141B-4C1B-11667CF2032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0584" y="2867220"/>
              <a:ext cx="1640338" cy="1589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52367</xdr:colOff>
      <xdr:row>10</xdr:row>
      <xdr:rowOff>15078</xdr:rowOff>
    </xdr:from>
    <xdr:to>
      <xdr:col>2</xdr:col>
      <xdr:colOff>486383</xdr:colOff>
      <xdr:row>16</xdr:row>
      <xdr:rowOff>8106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D12EC92-FB36-A4CA-AEB9-61025F6040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367" y="1752110"/>
              <a:ext cx="1646661" cy="1074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11430</xdr:rowOff>
    </xdr:from>
    <xdr:to>
      <xdr:col>5</xdr:col>
      <xdr:colOff>190500</xdr:colOff>
      <xdr:row>23</xdr:row>
      <xdr:rowOff>11430</xdr:rowOff>
    </xdr:to>
    <xdr:graphicFrame macro="">
      <xdr:nvGraphicFramePr>
        <xdr:cNvPr id="2" name="Chart 1">
          <a:extLst>
            <a:ext uri="{FF2B5EF4-FFF2-40B4-BE49-F238E27FC236}">
              <a16:creationId xmlns:a16="http://schemas.microsoft.com/office/drawing/2014/main" id="{761CF147-B330-1997-1D15-EF215F502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45076</xdr:rowOff>
    </xdr:from>
    <xdr:to>
      <xdr:col>5</xdr:col>
      <xdr:colOff>257577</xdr:colOff>
      <xdr:row>49</xdr:row>
      <xdr:rowOff>51515</xdr:rowOff>
    </xdr:to>
    <xdr:graphicFrame macro="">
      <xdr:nvGraphicFramePr>
        <xdr:cNvPr id="3" name="Chart 2">
          <a:extLst>
            <a:ext uri="{FF2B5EF4-FFF2-40B4-BE49-F238E27FC236}">
              <a16:creationId xmlns:a16="http://schemas.microsoft.com/office/drawing/2014/main" id="{A6F86544-066A-CC4F-30F3-504E9C942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56</xdr:row>
      <xdr:rowOff>161260</xdr:rowOff>
    </xdr:from>
    <xdr:to>
      <xdr:col>5</xdr:col>
      <xdr:colOff>221512</xdr:colOff>
      <xdr:row>71</xdr:row>
      <xdr:rowOff>113414</xdr:rowOff>
    </xdr:to>
    <xdr:graphicFrame macro="">
      <xdr:nvGraphicFramePr>
        <xdr:cNvPr id="5" name="Chart 4">
          <a:extLst>
            <a:ext uri="{FF2B5EF4-FFF2-40B4-BE49-F238E27FC236}">
              <a16:creationId xmlns:a16="http://schemas.microsoft.com/office/drawing/2014/main" id="{BD5E1866-E46B-D823-0196-6485CF925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217080</xdr:colOff>
      <xdr:row>72</xdr:row>
      <xdr:rowOff>63795</xdr:rowOff>
    </xdr:from>
    <xdr:to>
      <xdr:col>15</xdr:col>
      <xdr:colOff>509476</xdr:colOff>
      <xdr:row>87</xdr:row>
      <xdr:rowOff>15948</xdr:rowOff>
    </xdr:to>
    <xdr:graphicFrame macro="">
      <xdr:nvGraphicFramePr>
        <xdr:cNvPr id="6" name="Chart 5">
          <a:extLst>
            <a:ext uri="{FF2B5EF4-FFF2-40B4-BE49-F238E27FC236}">
              <a16:creationId xmlns:a16="http://schemas.microsoft.com/office/drawing/2014/main" id="{9DBF99F3-126F-21FE-A780-C913A66DA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KHATRI" refreshedDate="46208.894177083333" createdVersion="8" refreshedVersion="8" minRefreshableVersion="3" recordCount="1000" xr:uid="{B3298B8F-E7B3-489B-850B-0B2DEED86BB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s" numFmtId="0">
      <sharedItems count="3">
        <s v="Middle Age"/>
        <s v="Old"/>
        <s v="Adolescent"/>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436275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0"/>
    <x v="1"/>
    <x v="0"/>
  </r>
  <r>
    <n v="14177"/>
    <x v="0"/>
    <x v="1"/>
    <n v="80000"/>
    <n v="5"/>
    <x v="1"/>
    <s v="Professional"/>
    <s v="No"/>
    <n v="2"/>
    <x v="1"/>
    <x v="0"/>
    <x v="1"/>
    <x v="2"/>
    <x v="0"/>
  </r>
  <r>
    <n v="24381"/>
    <x v="1"/>
    <x v="1"/>
    <n v="70000"/>
    <n v="0"/>
    <x v="0"/>
    <s v="Professional"/>
    <s v="Yes"/>
    <n v="1"/>
    <x v="2"/>
    <x v="1"/>
    <x v="0"/>
    <x v="3"/>
    <x v="1"/>
  </r>
  <r>
    <n v="25597"/>
    <x v="1"/>
    <x v="1"/>
    <n v="30000"/>
    <n v="0"/>
    <x v="0"/>
    <s v="Clerical"/>
    <s v="No"/>
    <n v="0"/>
    <x v="0"/>
    <x v="0"/>
    <x v="0"/>
    <x v="4"/>
    <x v="1"/>
  </r>
  <r>
    <n v="13507"/>
    <x v="0"/>
    <x v="0"/>
    <n v="10000"/>
    <n v="2"/>
    <x v="1"/>
    <s v="Manual"/>
    <s v="Yes"/>
    <n v="0"/>
    <x v="3"/>
    <x v="0"/>
    <x v="0"/>
    <x v="5"/>
    <x v="0"/>
  </r>
  <r>
    <n v="27974"/>
    <x v="1"/>
    <x v="1"/>
    <n v="160000"/>
    <n v="2"/>
    <x v="2"/>
    <s v="Management"/>
    <s v="Yes"/>
    <n v="4"/>
    <x v="0"/>
    <x v="1"/>
    <x v="0"/>
    <x v="6"/>
    <x v="1"/>
  </r>
  <r>
    <n v="19364"/>
    <x v="0"/>
    <x v="1"/>
    <n v="40000"/>
    <n v="1"/>
    <x v="0"/>
    <s v="Skilled Manual"/>
    <s v="Yes"/>
    <n v="0"/>
    <x v="0"/>
    <x v="0"/>
    <x v="0"/>
    <x v="1"/>
    <x v="1"/>
  </r>
  <r>
    <n v="22155"/>
    <x v="0"/>
    <x v="1"/>
    <n v="20000"/>
    <n v="2"/>
    <x v="3"/>
    <s v="Clerical"/>
    <s v="Yes"/>
    <n v="2"/>
    <x v="2"/>
    <x v="1"/>
    <x v="1"/>
    <x v="7"/>
    <x v="0"/>
  </r>
  <r>
    <n v="19280"/>
    <x v="0"/>
    <x v="1"/>
    <n v="120000"/>
    <n v="2"/>
    <x v="1"/>
    <s v="Manual"/>
    <s v="Yes"/>
    <n v="1"/>
    <x v="0"/>
    <x v="0"/>
    <x v="0"/>
    <x v="8"/>
    <x v="1"/>
  </r>
  <r>
    <n v="22173"/>
    <x v="0"/>
    <x v="0"/>
    <n v="30000"/>
    <n v="3"/>
    <x v="2"/>
    <s v="Skilled Manual"/>
    <s v="No"/>
    <n v="2"/>
    <x v="3"/>
    <x v="1"/>
    <x v="0"/>
    <x v="9"/>
    <x v="1"/>
  </r>
  <r>
    <n v="12697"/>
    <x v="1"/>
    <x v="0"/>
    <n v="90000"/>
    <n v="0"/>
    <x v="0"/>
    <s v="Professional"/>
    <s v="No"/>
    <n v="4"/>
    <x v="4"/>
    <x v="1"/>
    <x v="0"/>
    <x v="4"/>
    <x v="0"/>
  </r>
  <r>
    <n v="11434"/>
    <x v="0"/>
    <x v="1"/>
    <n v="170000"/>
    <n v="5"/>
    <x v="1"/>
    <s v="Professional"/>
    <s v="Yes"/>
    <n v="0"/>
    <x v="0"/>
    <x v="0"/>
    <x v="1"/>
    <x v="10"/>
    <x v="0"/>
  </r>
  <r>
    <n v="25323"/>
    <x v="0"/>
    <x v="1"/>
    <n v="40000"/>
    <n v="2"/>
    <x v="1"/>
    <s v="Clerical"/>
    <s v="Yes"/>
    <n v="1"/>
    <x v="3"/>
    <x v="0"/>
    <x v="0"/>
    <x v="11"/>
    <x v="1"/>
  </r>
  <r>
    <n v="23542"/>
    <x v="1"/>
    <x v="1"/>
    <n v="60000"/>
    <n v="1"/>
    <x v="1"/>
    <s v="Skilled Manual"/>
    <s v="No"/>
    <n v="1"/>
    <x v="0"/>
    <x v="1"/>
    <x v="0"/>
    <x v="12"/>
    <x v="1"/>
  </r>
  <r>
    <n v="20870"/>
    <x v="1"/>
    <x v="0"/>
    <n v="10000"/>
    <n v="2"/>
    <x v="2"/>
    <s v="Manual"/>
    <s v="Yes"/>
    <n v="1"/>
    <x v="0"/>
    <x v="0"/>
    <x v="0"/>
    <x v="13"/>
    <x v="1"/>
  </r>
  <r>
    <n v="23316"/>
    <x v="1"/>
    <x v="1"/>
    <n v="30000"/>
    <n v="3"/>
    <x v="1"/>
    <s v="Clerical"/>
    <s v="No"/>
    <n v="2"/>
    <x v="3"/>
    <x v="1"/>
    <x v="1"/>
    <x v="14"/>
    <x v="1"/>
  </r>
  <r>
    <n v="12610"/>
    <x v="0"/>
    <x v="0"/>
    <n v="30000"/>
    <n v="1"/>
    <x v="0"/>
    <s v="Clerical"/>
    <s v="Yes"/>
    <n v="0"/>
    <x v="0"/>
    <x v="0"/>
    <x v="0"/>
    <x v="15"/>
    <x v="0"/>
  </r>
  <r>
    <n v="27183"/>
    <x v="1"/>
    <x v="1"/>
    <n v="40000"/>
    <n v="2"/>
    <x v="1"/>
    <s v="Clerical"/>
    <s v="Yes"/>
    <n v="1"/>
    <x v="3"/>
    <x v="0"/>
    <x v="0"/>
    <x v="11"/>
    <x v="1"/>
  </r>
  <r>
    <n v="25940"/>
    <x v="1"/>
    <x v="1"/>
    <n v="20000"/>
    <n v="2"/>
    <x v="3"/>
    <s v="Clerical"/>
    <s v="Yes"/>
    <n v="2"/>
    <x v="2"/>
    <x v="1"/>
    <x v="1"/>
    <x v="10"/>
    <x v="1"/>
  </r>
  <r>
    <n v="25598"/>
    <x v="0"/>
    <x v="0"/>
    <n v="40000"/>
    <n v="0"/>
    <x v="4"/>
    <s v="Clerical"/>
    <s v="Yes"/>
    <n v="0"/>
    <x v="0"/>
    <x v="0"/>
    <x v="0"/>
    <x v="4"/>
    <x v="1"/>
  </r>
  <r>
    <n v="21564"/>
    <x v="1"/>
    <x v="0"/>
    <n v="80000"/>
    <n v="0"/>
    <x v="0"/>
    <s v="Professional"/>
    <s v="Yes"/>
    <n v="4"/>
    <x v="4"/>
    <x v="1"/>
    <x v="0"/>
    <x v="11"/>
    <x v="0"/>
  </r>
  <r>
    <n v="19193"/>
    <x v="1"/>
    <x v="1"/>
    <n v="40000"/>
    <n v="2"/>
    <x v="1"/>
    <s v="Clerical"/>
    <s v="Yes"/>
    <n v="0"/>
    <x v="3"/>
    <x v="0"/>
    <x v="0"/>
    <x v="11"/>
    <x v="1"/>
  </r>
  <r>
    <n v="26412"/>
    <x v="0"/>
    <x v="0"/>
    <n v="80000"/>
    <n v="5"/>
    <x v="2"/>
    <s v="Management"/>
    <s v="No"/>
    <n v="3"/>
    <x v="2"/>
    <x v="0"/>
    <x v="1"/>
    <x v="16"/>
    <x v="0"/>
  </r>
  <r>
    <n v="27184"/>
    <x v="1"/>
    <x v="1"/>
    <n v="40000"/>
    <n v="2"/>
    <x v="1"/>
    <s v="Clerical"/>
    <s v="No"/>
    <n v="1"/>
    <x v="0"/>
    <x v="0"/>
    <x v="0"/>
    <x v="17"/>
    <x v="0"/>
  </r>
  <r>
    <n v="12590"/>
    <x v="1"/>
    <x v="1"/>
    <n v="30000"/>
    <n v="1"/>
    <x v="0"/>
    <s v="Clerical"/>
    <s v="Yes"/>
    <n v="0"/>
    <x v="0"/>
    <x v="0"/>
    <x v="1"/>
    <x v="18"/>
    <x v="0"/>
  </r>
  <r>
    <n v="17841"/>
    <x v="1"/>
    <x v="1"/>
    <n v="30000"/>
    <n v="0"/>
    <x v="1"/>
    <s v="Clerical"/>
    <s v="No"/>
    <n v="1"/>
    <x v="0"/>
    <x v="0"/>
    <x v="2"/>
    <x v="19"/>
    <x v="1"/>
  </r>
  <r>
    <n v="18283"/>
    <x v="1"/>
    <x v="0"/>
    <n v="100000"/>
    <n v="0"/>
    <x v="0"/>
    <s v="Professional"/>
    <s v="No"/>
    <n v="1"/>
    <x v="2"/>
    <x v="1"/>
    <x v="0"/>
    <x v="8"/>
    <x v="0"/>
  </r>
  <r>
    <n v="18299"/>
    <x v="0"/>
    <x v="1"/>
    <n v="70000"/>
    <n v="5"/>
    <x v="1"/>
    <s v="Skilled Manual"/>
    <s v="Yes"/>
    <n v="2"/>
    <x v="2"/>
    <x v="1"/>
    <x v="0"/>
    <x v="20"/>
    <x v="0"/>
  </r>
  <r>
    <n v="16466"/>
    <x v="1"/>
    <x v="0"/>
    <n v="20000"/>
    <n v="0"/>
    <x v="3"/>
    <s v="Manual"/>
    <s v="No"/>
    <n v="2"/>
    <x v="0"/>
    <x v="0"/>
    <x v="0"/>
    <x v="21"/>
    <x v="1"/>
  </r>
  <r>
    <n v="19273"/>
    <x v="0"/>
    <x v="0"/>
    <n v="20000"/>
    <n v="2"/>
    <x v="1"/>
    <s v="Manual"/>
    <s v="Yes"/>
    <n v="0"/>
    <x v="0"/>
    <x v="0"/>
    <x v="1"/>
    <x v="18"/>
    <x v="0"/>
  </r>
  <r>
    <n v="22400"/>
    <x v="0"/>
    <x v="1"/>
    <n v="10000"/>
    <n v="0"/>
    <x v="1"/>
    <s v="Manual"/>
    <s v="No"/>
    <n v="1"/>
    <x v="0"/>
    <x v="1"/>
    <x v="2"/>
    <x v="22"/>
    <x v="1"/>
  </r>
  <r>
    <n v="20942"/>
    <x v="1"/>
    <x v="0"/>
    <n v="20000"/>
    <n v="0"/>
    <x v="2"/>
    <s v="Manual"/>
    <s v="No"/>
    <n v="1"/>
    <x v="2"/>
    <x v="0"/>
    <x v="0"/>
    <x v="23"/>
    <x v="0"/>
  </r>
  <r>
    <n v="18484"/>
    <x v="1"/>
    <x v="1"/>
    <n v="80000"/>
    <n v="2"/>
    <x v="2"/>
    <s v="Skilled Manual"/>
    <s v="No"/>
    <n v="2"/>
    <x v="3"/>
    <x v="1"/>
    <x v="0"/>
    <x v="5"/>
    <x v="1"/>
  </r>
  <r>
    <n v="12291"/>
    <x v="1"/>
    <x v="1"/>
    <n v="90000"/>
    <n v="5"/>
    <x v="1"/>
    <s v="Professional"/>
    <s v="No"/>
    <n v="2"/>
    <x v="1"/>
    <x v="0"/>
    <x v="1"/>
    <x v="24"/>
    <x v="1"/>
  </r>
  <r>
    <n v="28380"/>
    <x v="1"/>
    <x v="0"/>
    <n v="10000"/>
    <n v="5"/>
    <x v="3"/>
    <s v="Manual"/>
    <s v="No"/>
    <n v="2"/>
    <x v="0"/>
    <x v="0"/>
    <x v="0"/>
    <x v="3"/>
    <x v="0"/>
  </r>
  <r>
    <n v="17891"/>
    <x v="0"/>
    <x v="0"/>
    <n v="10000"/>
    <n v="2"/>
    <x v="1"/>
    <s v="Manual"/>
    <s v="Yes"/>
    <n v="1"/>
    <x v="0"/>
    <x v="0"/>
    <x v="0"/>
    <x v="5"/>
    <x v="1"/>
  </r>
  <r>
    <n v="27832"/>
    <x v="1"/>
    <x v="0"/>
    <n v="30000"/>
    <n v="0"/>
    <x v="1"/>
    <s v="Clerical"/>
    <s v="No"/>
    <n v="1"/>
    <x v="1"/>
    <x v="0"/>
    <x v="2"/>
    <x v="25"/>
    <x v="0"/>
  </r>
  <r>
    <n v="26863"/>
    <x v="1"/>
    <x v="1"/>
    <n v="20000"/>
    <n v="0"/>
    <x v="2"/>
    <s v="Manual"/>
    <s v="No"/>
    <n v="1"/>
    <x v="1"/>
    <x v="0"/>
    <x v="2"/>
    <x v="26"/>
    <x v="0"/>
  </r>
  <r>
    <n v="16259"/>
    <x v="1"/>
    <x v="0"/>
    <n v="10000"/>
    <n v="4"/>
    <x v="3"/>
    <s v="Manual"/>
    <s v="Yes"/>
    <n v="2"/>
    <x v="0"/>
    <x v="0"/>
    <x v="0"/>
    <x v="8"/>
    <x v="1"/>
  </r>
  <r>
    <n v="27803"/>
    <x v="1"/>
    <x v="0"/>
    <n v="30000"/>
    <n v="2"/>
    <x v="1"/>
    <s v="Clerical"/>
    <s v="No"/>
    <n v="0"/>
    <x v="0"/>
    <x v="0"/>
    <x v="0"/>
    <x v="1"/>
    <x v="0"/>
  </r>
  <r>
    <n v="14347"/>
    <x v="1"/>
    <x v="0"/>
    <n v="40000"/>
    <n v="2"/>
    <x v="0"/>
    <s v="Management"/>
    <s v="Yes"/>
    <n v="2"/>
    <x v="2"/>
    <x v="1"/>
    <x v="1"/>
    <x v="27"/>
    <x v="1"/>
  </r>
  <r>
    <n v="17703"/>
    <x v="0"/>
    <x v="0"/>
    <n v="10000"/>
    <n v="1"/>
    <x v="4"/>
    <s v="Manual"/>
    <s v="Yes"/>
    <n v="0"/>
    <x v="0"/>
    <x v="0"/>
    <x v="0"/>
    <x v="8"/>
    <x v="0"/>
  </r>
  <r>
    <n v="17185"/>
    <x v="0"/>
    <x v="0"/>
    <n v="170000"/>
    <n v="4"/>
    <x v="1"/>
    <s v="Professional"/>
    <s v="No"/>
    <n v="3"/>
    <x v="2"/>
    <x v="0"/>
    <x v="0"/>
    <x v="28"/>
    <x v="1"/>
  </r>
  <r>
    <n v="29380"/>
    <x v="0"/>
    <x v="0"/>
    <n v="20000"/>
    <n v="3"/>
    <x v="2"/>
    <s v="Manual"/>
    <s v="Yes"/>
    <n v="0"/>
    <x v="0"/>
    <x v="0"/>
    <x v="0"/>
    <x v="3"/>
    <x v="1"/>
  </r>
  <r>
    <n v="23986"/>
    <x v="0"/>
    <x v="0"/>
    <n v="20000"/>
    <n v="1"/>
    <x v="0"/>
    <s v="Clerical"/>
    <s v="Yes"/>
    <n v="0"/>
    <x v="0"/>
    <x v="0"/>
    <x v="1"/>
    <x v="29"/>
    <x v="1"/>
  </r>
  <r>
    <n v="24466"/>
    <x v="0"/>
    <x v="0"/>
    <n v="60000"/>
    <n v="1"/>
    <x v="1"/>
    <s v="Skilled Manual"/>
    <s v="Yes"/>
    <n v="1"/>
    <x v="2"/>
    <x v="1"/>
    <x v="0"/>
    <x v="30"/>
    <x v="1"/>
  </r>
  <r>
    <n v="29097"/>
    <x v="1"/>
    <x v="0"/>
    <n v="40000"/>
    <n v="2"/>
    <x v="1"/>
    <s v="Skilled Manual"/>
    <s v="Yes"/>
    <n v="2"/>
    <x v="2"/>
    <x v="1"/>
    <x v="0"/>
    <x v="31"/>
    <x v="1"/>
  </r>
  <r>
    <n v="19487"/>
    <x v="0"/>
    <x v="1"/>
    <n v="30000"/>
    <n v="2"/>
    <x v="1"/>
    <s v="Clerical"/>
    <s v="No"/>
    <n v="2"/>
    <x v="0"/>
    <x v="0"/>
    <x v="0"/>
    <x v="0"/>
    <x v="0"/>
  </r>
  <r>
    <n v="14939"/>
    <x v="1"/>
    <x v="1"/>
    <n v="40000"/>
    <n v="0"/>
    <x v="0"/>
    <s v="Clerical"/>
    <s v="Yes"/>
    <n v="0"/>
    <x v="0"/>
    <x v="0"/>
    <x v="0"/>
    <x v="32"/>
    <x v="1"/>
  </r>
  <r>
    <n v="13826"/>
    <x v="1"/>
    <x v="0"/>
    <n v="30000"/>
    <n v="0"/>
    <x v="1"/>
    <s v="Clerical"/>
    <s v="No"/>
    <n v="1"/>
    <x v="0"/>
    <x v="0"/>
    <x v="2"/>
    <x v="26"/>
    <x v="0"/>
  </r>
  <r>
    <n v="20619"/>
    <x v="1"/>
    <x v="1"/>
    <n v="80000"/>
    <n v="0"/>
    <x v="0"/>
    <s v="Professional"/>
    <s v="No"/>
    <n v="4"/>
    <x v="4"/>
    <x v="1"/>
    <x v="0"/>
    <x v="11"/>
    <x v="0"/>
  </r>
  <r>
    <n v="12558"/>
    <x v="0"/>
    <x v="0"/>
    <n v="20000"/>
    <n v="1"/>
    <x v="0"/>
    <s v="Clerical"/>
    <s v="Yes"/>
    <n v="0"/>
    <x v="0"/>
    <x v="0"/>
    <x v="1"/>
    <x v="27"/>
    <x v="0"/>
  </r>
  <r>
    <n v="24871"/>
    <x v="1"/>
    <x v="0"/>
    <n v="90000"/>
    <n v="4"/>
    <x v="2"/>
    <s v="Management"/>
    <s v="No"/>
    <n v="3"/>
    <x v="2"/>
    <x v="0"/>
    <x v="1"/>
    <x v="16"/>
    <x v="0"/>
  </r>
  <r>
    <n v="17319"/>
    <x v="1"/>
    <x v="0"/>
    <n v="70000"/>
    <n v="0"/>
    <x v="0"/>
    <s v="Professional"/>
    <s v="No"/>
    <n v="1"/>
    <x v="2"/>
    <x v="1"/>
    <x v="0"/>
    <x v="0"/>
    <x v="0"/>
  </r>
  <r>
    <n v="28906"/>
    <x v="0"/>
    <x v="1"/>
    <n v="80000"/>
    <n v="4"/>
    <x v="2"/>
    <s v="Professional"/>
    <s v="Yes"/>
    <n v="2"/>
    <x v="4"/>
    <x v="0"/>
    <x v="0"/>
    <x v="9"/>
    <x v="0"/>
  </r>
  <r>
    <n v="12808"/>
    <x v="0"/>
    <x v="1"/>
    <n v="40000"/>
    <n v="0"/>
    <x v="0"/>
    <s v="Clerical"/>
    <s v="Yes"/>
    <n v="0"/>
    <x v="0"/>
    <x v="0"/>
    <x v="0"/>
    <x v="13"/>
    <x v="1"/>
  </r>
  <r>
    <n v="20567"/>
    <x v="0"/>
    <x v="1"/>
    <n v="130000"/>
    <n v="4"/>
    <x v="1"/>
    <s v="Professional"/>
    <s v="No"/>
    <n v="4"/>
    <x v="2"/>
    <x v="0"/>
    <x v="1"/>
    <x v="33"/>
    <x v="1"/>
  </r>
  <r>
    <n v="25502"/>
    <x v="0"/>
    <x v="0"/>
    <n v="40000"/>
    <n v="1"/>
    <x v="0"/>
    <s v="Skilled Manual"/>
    <s v="Yes"/>
    <n v="0"/>
    <x v="0"/>
    <x v="0"/>
    <x v="0"/>
    <x v="1"/>
    <x v="1"/>
  </r>
  <r>
    <n v="15580"/>
    <x v="0"/>
    <x v="1"/>
    <n v="60000"/>
    <n v="2"/>
    <x v="0"/>
    <s v="Professional"/>
    <s v="Yes"/>
    <n v="1"/>
    <x v="1"/>
    <x v="1"/>
    <x v="0"/>
    <x v="13"/>
    <x v="1"/>
  </r>
  <r>
    <n v="24185"/>
    <x v="1"/>
    <x v="0"/>
    <n v="10000"/>
    <n v="1"/>
    <x v="2"/>
    <s v="Manual"/>
    <s v="No"/>
    <n v="1"/>
    <x v="3"/>
    <x v="0"/>
    <x v="0"/>
    <x v="12"/>
    <x v="0"/>
  </r>
  <r>
    <n v="19291"/>
    <x v="1"/>
    <x v="0"/>
    <n v="10000"/>
    <n v="2"/>
    <x v="2"/>
    <s v="Manual"/>
    <s v="Yes"/>
    <n v="0"/>
    <x v="0"/>
    <x v="0"/>
    <x v="0"/>
    <x v="11"/>
    <x v="0"/>
  </r>
  <r>
    <n v="16713"/>
    <x v="0"/>
    <x v="1"/>
    <n v="40000"/>
    <n v="2"/>
    <x v="0"/>
    <s v="Management"/>
    <s v="Yes"/>
    <n v="1"/>
    <x v="0"/>
    <x v="1"/>
    <x v="0"/>
    <x v="31"/>
    <x v="1"/>
  </r>
  <r>
    <n v="16185"/>
    <x v="1"/>
    <x v="1"/>
    <n v="60000"/>
    <n v="4"/>
    <x v="0"/>
    <s v="Professional"/>
    <s v="Yes"/>
    <n v="3"/>
    <x v="4"/>
    <x v="1"/>
    <x v="0"/>
    <x v="3"/>
    <x v="0"/>
  </r>
  <r>
    <n v="14927"/>
    <x v="0"/>
    <x v="0"/>
    <n v="30000"/>
    <n v="1"/>
    <x v="0"/>
    <s v="Clerical"/>
    <s v="Yes"/>
    <n v="0"/>
    <x v="0"/>
    <x v="0"/>
    <x v="0"/>
    <x v="34"/>
    <x v="1"/>
  </r>
  <r>
    <n v="29337"/>
    <x v="1"/>
    <x v="1"/>
    <n v="30000"/>
    <n v="2"/>
    <x v="1"/>
    <s v="Clerical"/>
    <s v="Yes"/>
    <n v="2"/>
    <x v="2"/>
    <x v="1"/>
    <x v="1"/>
    <x v="35"/>
    <x v="0"/>
  </r>
  <r>
    <n v="29355"/>
    <x v="0"/>
    <x v="0"/>
    <n v="40000"/>
    <n v="0"/>
    <x v="4"/>
    <s v="Clerical"/>
    <s v="Yes"/>
    <n v="0"/>
    <x v="0"/>
    <x v="0"/>
    <x v="0"/>
    <x v="34"/>
    <x v="1"/>
  </r>
  <r>
    <n v="25303"/>
    <x v="1"/>
    <x v="1"/>
    <n v="30000"/>
    <n v="0"/>
    <x v="2"/>
    <s v="Manual"/>
    <s v="Yes"/>
    <n v="1"/>
    <x v="1"/>
    <x v="0"/>
    <x v="0"/>
    <x v="6"/>
    <x v="1"/>
  </r>
  <r>
    <n v="14813"/>
    <x v="1"/>
    <x v="0"/>
    <n v="20000"/>
    <n v="4"/>
    <x v="2"/>
    <s v="Manual"/>
    <s v="Yes"/>
    <n v="1"/>
    <x v="0"/>
    <x v="0"/>
    <x v="0"/>
    <x v="1"/>
    <x v="1"/>
  </r>
  <r>
    <n v="16438"/>
    <x v="0"/>
    <x v="0"/>
    <n v="10000"/>
    <n v="0"/>
    <x v="3"/>
    <s v="Manual"/>
    <s v="No"/>
    <n v="2"/>
    <x v="0"/>
    <x v="0"/>
    <x v="2"/>
    <x v="25"/>
    <x v="0"/>
  </r>
  <r>
    <n v="14238"/>
    <x v="0"/>
    <x v="1"/>
    <n v="120000"/>
    <n v="0"/>
    <x v="3"/>
    <s v="Professional"/>
    <s v="Yes"/>
    <n v="4"/>
    <x v="4"/>
    <x v="1"/>
    <x v="0"/>
    <x v="4"/>
    <x v="1"/>
  </r>
  <r>
    <n v="16200"/>
    <x v="1"/>
    <x v="0"/>
    <n v="10000"/>
    <n v="0"/>
    <x v="3"/>
    <s v="Manual"/>
    <s v="No"/>
    <n v="2"/>
    <x v="0"/>
    <x v="0"/>
    <x v="0"/>
    <x v="11"/>
    <x v="0"/>
  </r>
  <r>
    <n v="24857"/>
    <x v="0"/>
    <x v="0"/>
    <n v="130000"/>
    <n v="3"/>
    <x v="2"/>
    <s v="Professional"/>
    <s v="Yes"/>
    <n v="4"/>
    <x v="0"/>
    <x v="0"/>
    <x v="0"/>
    <x v="31"/>
    <x v="0"/>
  </r>
  <r>
    <n v="26956"/>
    <x v="1"/>
    <x v="0"/>
    <n v="20000"/>
    <n v="0"/>
    <x v="1"/>
    <s v="Manual"/>
    <s v="No"/>
    <n v="1"/>
    <x v="1"/>
    <x v="0"/>
    <x v="0"/>
    <x v="4"/>
    <x v="1"/>
  </r>
  <r>
    <n v="14517"/>
    <x v="0"/>
    <x v="0"/>
    <n v="20000"/>
    <n v="3"/>
    <x v="2"/>
    <s v="Skilled Manual"/>
    <s v="No"/>
    <n v="2"/>
    <x v="3"/>
    <x v="1"/>
    <x v="1"/>
    <x v="24"/>
    <x v="0"/>
  </r>
  <r>
    <n v="12678"/>
    <x v="1"/>
    <x v="0"/>
    <n v="130000"/>
    <n v="4"/>
    <x v="2"/>
    <s v="Management"/>
    <s v="Yes"/>
    <n v="4"/>
    <x v="0"/>
    <x v="1"/>
    <x v="0"/>
    <x v="23"/>
    <x v="0"/>
  </r>
  <r>
    <n v="16188"/>
    <x v="1"/>
    <x v="0"/>
    <n v="20000"/>
    <n v="0"/>
    <x v="3"/>
    <s v="Manual"/>
    <s v="No"/>
    <n v="2"/>
    <x v="3"/>
    <x v="0"/>
    <x v="2"/>
    <x v="22"/>
    <x v="0"/>
  </r>
  <r>
    <n v="27969"/>
    <x v="0"/>
    <x v="1"/>
    <n v="80000"/>
    <n v="0"/>
    <x v="0"/>
    <s v="Professional"/>
    <s v="Yes"/>
    <n v="2"/>
    <x v="4"/>
    <x v="1"/>
    <x v="2"/>
    <x v="19"/>
    <x v="1"/>
  </r>
  <r>
    <n v="15752"/>
    <x v="0"/>
    <x v="1"/>
    <n v="80000"/>
    <n v="2"/>
    <x v="2"/>
    <s v="Skilled Manual"/>
    <s v="No"/>
    <n v="2"/>
    <x v="3"/>
    <x v="1"/>
    <x v="0"/>
    <x v="5"/>
    <x v="1"/>
  </r>
  <r>
    <n v="27745"/>
    <x v="1"/>
    <x v="1"/>
    <n v="40000"/>
    <n v="2"/>
    <x v="0"/>
    <s v="Management"/>
    <s v="Yes"/>
    <n v="2"/>
    <x v="2"/>
    <x v="1"/>
    <x v="1"/>
    <x v="18"/>
    <x v="1"/>
  </r>
  <r>
    <n v="20828"/>
    <x v="0"/>
    <x v="0"/>
    <n v="30000"/>
    <n v="4"/>
    <x v="4"/>
    <s v="Clerical"/>
    <s v="Yes"/>
    <n v="0"/>
    <x v="0"/>
    <x v="0"/>
    <x v="0"/>
    <x v="12"/>
    <x v="1"/>
  </r>
  <r>
    <n v="19461"/>
    <x v="1"/>
    <x v="0"/>
    <n v="10000"/>
    <n v="4"/>
    <x v="3"/>
    <s v="Manual"/>
    <s v="Yes"/>
    <n v="2"/>
    <x v="0"/>
    <x v="0"/>
    <x v="0"/>
    <x v="8"/>
    <x v="0"/>
  </r>
  <r>
    <n v="26941"/>
    <x v="0"/>
    <x v="1"/>
    <n v="30000"/>
    <n v="0"/>
    <x v="0"/>
    <s v="Clerical"/>
    <s v="Yes"/>
    <n v="0"/>
    <x v="0"/>
    <x v="0"/>
    <x v="0"/>
    <x v="15"/>
    <x v="1"/>
  </r>
  <r>
    <n v="28412"/>
    <x v="1"/>
    <x v="1"/>
    <n v="20000"/>
    <n v="0"/>
    <x v="2"/>
    <s v="Manual"/>
    <s v="No"/>
    <n v="1"/>
    <x v="1"/>
    <x v="0"/>
    <x v="2"/>
    <x v="19"/>
    <x v="0"/>
  </r>
  <r>
    <n v="24485"/>
    <x v="1"/>
    <x v="1"/>
    <n v="40000"/>
    <n v="2"/>
    <x v="0"/>
    <s v="Management"/>
    <s v="No"/>
    <n v="1"/>
    <x v="2"/>
    <x v="1"/>
    <x v="0"/>
    <x v="31"/>
    <x v="1"/>
  </r>
  <r>
    <n v="16514"/>
    <x v="1"/>
    <x v="1"/>
    <n v="10000"/>
    <n v="0"/>
    <x v="1"/>
    <s v="Manual"/>
    <s v="Yes"/>
    <n v="1"/>
    <x v="3"/>
    <x v="1"/>
    <x v="2"/>
    <x v="22"/>
    <x v="1"/>
  </r>
  <r>
    <n v="17191"/>
    <x v="1"/>
    <x v="1"/>
    <n v="130000"/>
    <n v="3"/>
    <x v="1"/>
    <s v="Professional"/>
    <s v="No"/>
    <n v="3"/>
    <x v="0"/>
    <x v="0"/>
    <x v="0"/>
    <x v="36"/>
    <x v="1"/>
  </r>
  <r>
    <n v="19608"/>
    <x v="0"/>
    <x v="1"/>
    <n v="80000"/>
    <n v="5"/>
    <x v="0"/>
    <s v="Professional"/>
    <s v="Yes"/>
    <n v="4"/>
    <x v="3"/>
    <x v="1"/>
    <x v="0"/>
    <x v="8"/>
    <x v="0"/>
  </r>
  <r>
    <n v="24119"/>
    <x v="1"/>
    <x v="1"/>
    <n v="30000"/>
    <n v="0"/>
    <x v="1"/>
    <s v="Clerical"/>
    <s v="No"/>
    <n v="1"/>
    <x v="1"/>
    <x v="0"/>
    <x v="2"/>
    <x v="19"/>
    <x v="0"/>
  </r>
  <r>
    <n v="25458"/>
    <x v="0"/>
    <x v="1"/>
    <n v="20000"/>
    <n v="1"/>
    <x v="2"/>
    <s v="Manual"/>
    <s v="No"/>
    <n v="1"/>
    <x v="3"/>
    <x v="0"/>
    <x v="0"/>
    <x v="8"/>
    <x v="1"/>
  </r>
  <r>
    <n v="26886"/>
    <x v="1"/>
    <x v="0"/>
    <n v="30000"/>
    <n v="0"/>
    <x v="1"/>
    <s v="Clerical"/>
    <s v="No"/>
    <n v="1"/>
    <x v="0"/>
    <x v="0"/>
    <x v="2"/>
    <x v="19"/>
    <x v="1"/>
  </r>
  <r>
    <n v="28436"/>
    <x v="1"/>
    <x v="1"/>
    <n v="30000"/>
    <n v="0"/>
    <x v="1"/>
    <s v="Clerical"/>
    <s v="No"/>
    <n v="1"/>
    <x v="0"/>
    <x v="0"/>
    <x v="2"/>
    <x v="25"/>
    <x v="1"/>
  </r>
  <r>
    <n v="19562"/>
    <x v="1"/>
    <x v="0"/>
    <n v="60000"/>
    <n v="2"/>
    <x v="0"/>
    <s v="Professional"/>
    <s v="Yes"/>
    <n v="1"/>
    <x v="1"/>
    <x v="1"/>
    <x v="0"/>
    <x v="34"/>
    <x v="1"/>
  </r>
  <r>
    <n v="15608"/>
    <x v="1"/>
    <x v="0"/>
    <n v="30000"/>
    <n v="0"/>
    <x v="1"/>
    <s v="Clerical"/>
    <s v="No"/>
    <n v="1"/>
    <x v="1"/>
    <x v="0"/>
    <x v="0"/>
    <x v="6"/>
    <x v="0"/>
  </r>
  <r>
    <n v="16487"/>
    <x v="1"/>
    <x v="0"/>
    <n v="30000"/>
    <n v="3"/>
    <x v="2"/>
    <s v="Skilled Manual"/>
    <s v="Yes"/>
    <n v="2"/>
    <x v="2"/>
    <x v="1"/>
    <x v="1"/>
    <x v="10"/>
    <x v="0"/>
  </r>
  <r>
    <n v="17197"/>
    <x v="1"/>
    <x v="0"/>
    <n v="90000"/>
    <n v="5"/>
    <x v="1"/>
    <s v="Professional"/>
    <s v="Yes"/>
    <n v="2"/>
    <x v="4"/>
    <x v="0"/>
    <x v="1"/>
    <x v="24"/>
    <x v="0"/>
  </r>
  <r>
    <n v="12507"/>
    <x v="0"/>
    <x v="1"/>
    <n v="30000"/>
    <n v="1"/>
    <x v="1"/>
    <s v="Clerical"/>
    <s v="Yes"/>
    <n v="1"/>
    <x v="0"/>
    <x v="0"/>
    <x v="0"/>
    <x v="1"/>
    <x v="0"/>
  </r>
  <r>
    <n v="23940"/>
    <x v="0"/>
    <x v="1"/>
    <n v="40000"/>
    <n v="1"/>
    <x v="0"/>
    <s v="Skilled Manual"/>
    <s v="Yes"/>
    <n v="1"/>
    <x v="0"/>
    <x v="0"/>
    <x v="0"/>
    <x v="20"/>
    <x v="1"/>
  </r>
  <r>
    <n v="19441"/>
    <x v="0"/>
    <x v="1"/>
    <n v="40000"/>
    <n v="0"/>
    <x v="4"/>
    <s v="Clerical"/>
    <s v="Yes"/>
    <n v="0"/>
    <x v="0"/>
    <x v="0"/>
    <x v="2"/>
    <x v="37"/>
    <x v="1"/>
  </r>
  <r>
    <n v="26852"/>
    <x v="0"/>
    <x v="0"/>
    <n v="20000"/>
    <n v="3"/>
    <x v="2"/>
    <s v="Manual"/>
    <s v="Yes"/>
    <n v="2"/>
    <x v="0"/>
    <x v="0"/>
    <x v="0"/>
    <x v="1"/>
    <x v="0"/>
  </r>
  <r>
    <n v="12274"/>
    <x v="1"/>
    <x v="1"/>
    <n v="10000"/>
    <n v="2"/>
    <x v="2"/>
    <s v="Manual"/>
    <s v="Yes"/>
    <n v="0"/>
    <x v="0"/>
    <x v="0"/>
    <x v="0"/>
    <x v="11"/>
    <x v="0"/>
  </r>
  <r>
    <n v="20236"/>
    <x v="1"/>
    <x v="1"/>
    <n v="60000"/>
    <n v="3"/>
    <x v="0"/>
    <s v="Professional"/>
    <s v="No"/>
    <n v="2"/>
    <x v="0"/>
    <x v="1"/>
    <x v="0"/>
    <x v="1"/>
    <x v="1"/>
  </r>
  <r>
    <n v="24149"/>
    <x v="0"/>
    <x v="1"/>
    <n v="10000"/>
    <n v="2"/>
    <x v="1"/>
    <s v="Manual"/>
    <s v="Yes"/>
    <n v="0"/>
    <x v="3"/>
    <x v="0"/>
    <x v="0"/>
    <x v="38"/>
    <x v="0"/>
  </r>
  <r>
    <n v="26139"/>
    <x v="1"/>
    <x v="1"/>
    <n v="60000"/>
    <n v="1"/>
    <x v="1"/>
    <s v="Skilled Manual"/>
    <s v="Yes"/>
    <n v="1"/>
    <x v="2"/>
    <x v="1"/>
    <x v="0"/>
    <x v="12"/>
    <x v="0"/>
  </r>
  <r>
    <n v="18491"/>
    <x v="1"/>
    <x v="0"/>
    <n v="70000"/>
    <n v="2"/>
    <x v="2"/>
    <s v="Professional"/>
    <s v="Yes"/>
    <n v="2"/>
    <x v="2"/>
    <x v="1"/>
    <x v="0"/>
    <x v="38"/>
    <x v="1"/>
  </r>
  <r>
    <n v="22707"/>
    <x v="1"/>
    <x v="0"/>
    <n v="30000"/>
    <n v="0"/>
    <x v="1"/>
    <s v="Clerical"/>
    <s v="No"/>
    <n v="1"/>
    <x v="1"/>
    <x v="0"/>
    <x v="2"/>
    <x v="25"/>
    <x v="0"/>
  </r>
  <r>
    <n v="20430"/>
    <x v="0"/>
    <x v="1"/>
    <n v="70000"/>
    <n v="2"/>
    <x v="1"/>
    <s v="Skilled Manual"/>
    <s v="Yes"/>
    <n v="2"/>
    <x v="2"/>
    <x v="1"/>
    <x v="0"/>
    <x v="31"/>
    <x v="1"/>
  </r>
  <r>
    <n v="27494"/>
    <x v="1"/>
    <x v="0"/>
    <n v="40000"/>
    <n v="2"/>
    <x v="1"/>
    <s v="Skilled Manual"/>
    <s v="No"/>
    <n v="2"/>
    <x v="3"/>
    <x v="1"/>
    <x v="0"/>
    <x v="39"/>
    <x v="1"/>
  </r>
  <r>
    <n v="26829"/>
    <x v="0"/>
    <x v="0"/>
    <n v="40000"/>
    <n v="0"/>
    <x v="0"/>
    <s v="Clerical"/>
    <s v="Yes"/>
    <n v="0"/>
    <x v="0"/>
    <x v="0"/>
    <x v="0"/>
    <x v="13"/>
    <x v="1"/>
  </r>
  <r>
    <n v="28395"/>
    <x v="1"/>
    <x v="1"/>
    <n v="40000"/>
    <n v="0"/>
    <x v="0"/>
    <s v="Professional"/>
    <s v="No"/>
    <n v="0"/>
    <x v="0"/>
    <x v="0"/>
    <x v="0"/>
    <x v="32"/>
    <x v="1"/>
  </r>
  <r>
    <n v="21006"/>
    <x v="1"/>
    <x v="0"/>
    <n v="30000"/>
    <n v="1"/>
    <x v="1"/>
    <s v="Manual"/>
    <s v="No"/>
    <n v="0"/>
    <x v="0"/>
    <x v="0"/>
    <x v="0"/>
    <x v="30"/>
    <x v="1"/>
  </r>
  <r>
    <n v="14682"/>
    <x v="1"/>
    <x v="0"/>
    <n v="70000"/>
    <n v="0"/>
    <x v="0"/>
    <s v="Professional"/>
    <s v="No"/>
    <n v="1"/>
    <x v="2"/>
    <x v="1"/>
    <x v="0"/>
    <x v="13"/>
    <x v="0"/>
  </r>
  <r>
    <n v="17650"/>
    <x v="1"/>
    <x v="0"/>
    <n v="40000"/>
    <n v="2"/>
    <x v="1"/>
    <s v="Clerical"/>
    <s v="Yes"/>
    <n v="2"/>
    <x v="3"/>
    <x v="0"/>
    <x v="0"/>
    <x v="11"/>
    <x v="0"/>
  </r>
  <r>
    <n v="29191"/>
    <x v="1"/>
    <x v="0"/>
    <n v="130000"/>
    <n v="1"/>
    <x v="4"/>
    <s v="Management"/>
    <s v="No"/>
    <n v="1"/>
    <x v="0"/>
    <x v="1"/>
    <x v="0"/>
    <x v="4"/>
    <x v="1"/>
  </r>
  <r>
    <n v="15030"/>
    <x v="0"/>
    <x v="1"/>
    <n v="20000"/>
    <n v="0"/>
    <x v="0"/>
    <s v="Clerical"/>
    <s v="Yes"/>
    <n v="0"/>
    <x v="0"/>
    <x v="1"/>
    <x v="2"/>
    <x v="22"/>
    <x v="1"/>
  </r>
  <r>
    <n v="24140"/>
    <x v="1"/>
    <x v="1"/>
    <n v="10000"/>
    <n v="0"/>
    <x v="4"/>
    <s v="Manual"/>
    <s v="No"/>
    <n v="0"/>
    <x v="0"/>
    <x v="0"/>
    <x v="2"/>
    <x v="25"/>
    <x v="1"/>
  </r>
  <r>
    <n v="22496"/>
    <x v="0"/>
    <x v="0"/>
    <n v="30000"/>
    <n v="1"/>
    <x v="0"/>
    <s v="Skilled Manual"/>
    <s v="Yes"/>
    <n v="2"/>
    <x v="0"/>
    <x v="0"/>
    <x v="0"/>
    <x v="0"/>
    <x v="0"/>
  </r>
  <r>
    <n v="24065"/>
    <x v="1"/>
    <x v="0"/>
    <n v="20000"/>
    <n v="0"/>
    <x v="2"/>
    <s v="Manual"/>
    <s v="Yes"/>
    <n v="0"/>
    <x v="0"/>
    <x v="0"/>
    <x v="0"/>
    <x v="8"/>
    <x v="1"/>
  </r>
  <r>
    <n v="19914"/>
    <x v="0"/>
    <x v="1"/>
    <n v="80000"/>
    <n v="5"/>
    <x v="0"/>
    <s v="Management"/>
    <s v="Yes"/>
    <n v="2"/>
    <x v="1"/>
    <x v="0"/>
    <x v="1"/>
    <x v="24"/>
    <x v="0"/>
  </r>
  <r>
    <n v="12871"/>
    <x v="1"/>
    <x v="0"/>
    <n v="30000"/>
    <n v="0"/>
    <x v="1"/>
    <s v="Clerical"/>
    <s v="No"/>
    <n v="1"/>
    <x v="1"/>
    <x v="0"/>
    <x v="2"/>
    <x v="19"/>
    <x v="0"/>
  </r>
  <r>
    <n v="22988"/>
    <x v="0"/>
    <x v="0"/>
    <n v="40000"/>
    <n v="2"/>
    <x v="0"/>
    <s v="Management"/>
    <s v="Yes"/>
    <n v="2"/>
    <x v="2"/>
    <x v="1"/>
    <x v="1"/>
    <x v="29"/>
    <x v="1"/>
  </r>
  <r>
    <n v="15922"/>
    <x v="0"/>
    <x v="1"/>
    <n v="150000"/>
    <n v="2"/>
    <x v="2"/>
    <s v="Professional"/>
    <s v="Yes"/>
    <n v="4"/>
    <x v="0"/>
    <x v="0"/>
    <x v="0"/>
    <x v="28"/>
    <x v="0"/>
  </r>
  <r>
    <n v="12344"/>
    <x v="1"/>
    <x v="0"/>
    <n v="80000"/>
    <n v="0"/>
    <x v="0"/>
    <s v="Professional"/>
    <s v="No"/>
    <n v="3"/>
    <x v="4"/>
    <x v="1"/>
    <x v="0"/>
    <x v="23"/>
    <x v="0"/>
  </r>
  <r>
    <n v="23627"/>
    <x v="1"/>
    <x v="0"/>
    <n v="100000"/>
    <n v="3"/>
    <x v="1"/>
    <s v="Management"/>
    <s v="No"/>
    <n v="4"/>
    <x v="2"/>
    <x v="0"/>
    <x v="1"/>
    <x v="16"/>
    <x v="0"/>
  </r>
  <r>
    <n v="27775"/>
    <x v="1"/>
    <x v="0"/>
    <n v="40000"/>
    <n v="0"/>
    <x v="0"/>
    <s v="Clerical"/>
    <s v="No"/>
    <n v="0"/>
    <x v="0"/>
    <x v="0"/>
    <x v="0"/>
    <x v="13"/>
    <x v="1"/>
  </r>
  <r>
    <n v="29301"/>
    <x v="0"/>
    <x v="1"/>
    <n v="80000"/>
    <n v="5"/>
    <x v="0"/>
    <s v="Professional"/>
    <s v="Yes"/>
    <n v="4"/>
    <x v="3"/>
    <x v="1"/>
    <x v="0"/>
    <x v="8"/>
    <x v="0"/>
  </r>
  <r>
    <n v="12716"/>
    <x v="1"/>
    <x v="1"/>
    <n v="30000"/>
    <n v="0"/>
    <x v="1"/>
    <s v="Clerical"/>
    <s v="Yes"/>
    <n v="1"/>
    <x v="1"/>
    <x v="0"/>
    <x v="0"/>
    <x v="21"/>
    <x v="0"/>
  </r>
  <r>
    <n v="12472"/>
    <x v="0"/>
    <x v="1"/>
    <n v="30000"/>
    <n v="1"/>
    <x v="0"/>
    <s v="Clerical"/>
    <s v="Yes"/>
    <n v="1"/>
    <x v="1"/>
    <x v="0"/>
    <x v="0"/>
    <x v="32"/>
    <x v="0"/>
  </r>
  <r>
    <n v="20970"/>
    <x v="1"/>
    <x v="1"/>
    <n v="10000"/>
    <n v="2"/>
    <x v="1"/>
    <s v="Manual"/>
    <s v="Yes"/>
    <n v="1"/>
    <x v="0"/>
    <x v="0"/>
    <x v="0"/>
    <x v="31"/>
    <x v="1"/>
  </r>
  <r>
    <n v="26818"/>
    <x v="1"/>
    <x v="1"/>
    <n v="10000"/>
    <n v="3"/>
    <x v="2"/>
    <s v="Manual"/>
    <s v="Yes"/>
    <n v="1"/>
    <x v="0"/>
    <x v="0"/>
    <x v="0"/>
    <x v="32"/>
    <x v="1"/>
  </r>
  <r>
    <n v="12993"/>
    <x v="0"/>
    <x v="1"/>
    <n v="60000"/>
    <n v="2"/>
    <x v="0"/>
    <s v="Professional"/>
    <s v="Yes"/>
    <n v="1"/>
    <x v="1"/>
    <x v="1"/>
    <x v="0"/>
    <x v="34"/>
    <x v="0"/>
  </r>
  <r>
    <n v="14192"/>
    <x v="0"/>
    <x v="1"/>
    <n v="90000"/>
    <n v="4"/>
    <x v="2"/>
    <s v="Management"/>
    <s v="Yes"/>
    <n v="3"/>
    <x v="2"/>
    <x v="0"/>
    <x v="1"/>
    <x v="16"/>
    <x v="1"/>
  </r>
  <r>
    <n v="19477"/>
    <x v="0"/>
    <x v="1"/>
    <n v="40000"/>
    <n v="0"/>
    <x v="0"/>
    <s v="Professional"/>
    <s v="Yes"/>
    <n v="0"/>
    <x v="0"/>
    <x v="0"/>
    <x v="0"/>
    <x v="8"/>
    <x v="1"/>
  </r>
  <r>
    <n v="26796"/>
    <x v="1"/>
    <x v="1"/>
    <n v="40000"/>
    <n v="2"/>
    <x v="0"/>
    <s v="Management"/>
    <s v="Yes"/>
    <n v="2"/>
    <x v="2"/>
    <x v="1"/>
    <x v="1"/>
    <x v="27"/>
    <x v="1"/>
  </r>
  <r>
    <n v="21094"/>
    <x v="1"/>
    <x v="0"/>
    <n v="30000"/>
    <n v="2"/>
    <x v="1"/>
    <s v="Clerical"/>
    <s v="Yes"/>
    <n v="2"/>
    <x v="0"/>
    <x v="0"/>
    <x v="0"/>
    <x v="0"/>
    <x v="0"/>
  </r>
  <r>
    <n v="12234"/>
    <x v="0"/>
    <x v="1"/>
    <n v="10000"/>
    <n v="2"/>
    <x v="1"/>
    <s v="Manual"/>
    <s v="Yes"/>
    <n v="1"/>
    <x v="1"/>
    <x v="0"/>
    <x v="0"/>
    <x v="31"/>
    <x v="0"/>
  </r>
  <r>
    <n v="28683"/>
    <x v="1"/>
    <x v="0"/>
    <n v="10000"/>
    <n v="1"/>
    <x v="2"/>
    <s v="Manual"/>
    <s v="No"/>
    <n v="1"/>
    <x v="2"/>
    <x v="0"/>
    <x v="0"/>
    <x v="11"/>
    <x v="1"/>
  </r>
  <r>
    <n v="17994"/>
    <x v="1"/>
    <x v="1"/>
    <n v="20000"/>
    <n v="2"/>
    <x v="2"/>
    <s v="Manual"/>
    <s v="Yes"/>
    <n v="2"/>
    <x v="0"/>
    <x v="0"/>
    <x v="0"/>
    <x v="0"/>
    <x v="0"/>
  </r>
  <r>
    <n v="24273"/>
    <x v="0"/>
    <x v="0"/>
    <n v="20000"/>
    <n v="2"/>
    <x v="3"/>
    <s v="Clerical"/>
    <s v="Yes"/>
    <n v="2"/>
    <x v="2"/>
    <x v="1"/>
    <x v="1"/>
    <x v="10"/>
    <x v="1"/>
  </r>
  <r>
    <n v="26547"/>
    <x v="1"/>
    <x v="0"/>
    <n v="30000"/>
    <n v="2"/>
    <x v="1"/>
    <s v="Clerical"/>
    <s v="No"/>
    <n v="2"/>
    <x v="2"/>
    <x v="1"/>
    <x v="1"/>
    <x v="2"/>
    <x v="1"/>
  </r>
  <r>
    <n v="22500"/>
    <x v="1"/>
    <x v="1"/>
    <n v="40000"/>
    <n v="0"/>
    <x v="0"/>
    <s v="Professional"/>
    <s v="No"/>
    <n v="0"/>
    <x v="0"/>
    <x v="0"/>
    <x v="0"/>
    <x v="8"/>
    <x v="1"/>
  </r>
  <r>
    <n v="23993"/>
    <x v="1"/>
    <x v="0"/>
    <n v="10000"/>
    <n v="0"/>
    <x v="1"/>
    <s v="Manual"/>
    <s v="No"/>
    <n v="1"/>
    <x v="0"/>
    <x v="1"/>
    <x v="2"/>
    <x v="22"/>
    <x v="1"/>
  </r>
  <r>
    <n v="14832"/>
    <x v="0"/>
    <x v="1"/>
    <n v="40000"/>
    <n v="1"/>
    <x v="0"/>
    <s v="Skilled Manual"/>
    <s v="Yes"/>
    <n v="0"/>
    <x v="0"/>
    <x v="0"/>
    <x v="0"/>
    <x v="0"/>
    <x v="1"/>
  </r>
  <r>
    <n v="16614"/>
    <x v="0"/>
    <x v="0"/>
    <n v="80000"/>
    <n v="0"/>
    <x v="0"/>
    <s v="Professional"/>
    <s v="Yes"/>
    <n v="3"/>
    <x v="4"/>
    <x v="1"/>
    <x v="0"/>
    <x v="21"/>
    <x v="0"/>
  </r>
  <r>
    <n v="20877"/>
    <x v="1"/>
    <x v="1"/>
    <n v="30000"/>
    <n v="1"/>
    <x v="0"/>
    <s v="Clerical"/>
    <s v="Yes"/>
    <n v="0"/>
    <x v="3"/>
    <x v="0"/>
    <x v="0"/>
    <x v="34"/>
    <x v="1"/>
  </r>
  <r>
    <n v="20729"/>
    <x v="0"/>
    <x v="0"/>
    <n v="40000"/>
    <n v="2"/>
    <x v="1"/>
    <s v="Clerical"/>
    <s v="No"/>
    <n v="1"/>
    <x v="0"/>
    <x v="0"/>
    <x v="0"/>
    <x v="17"/>
    <x v="0"/>
  </r>
  <r>
    <n v="22464"/>
    <x v="0"/>
    <x v="1"/>
    <n v="40000"/>
    <n v="0"/>
    <x v="4"/>
    <s v="Clerical"/>
    <s v="Yes"/>
    <n v="0"/>
    <x v="0"/>
    <x v="0"/>
    <x v="0"/>
    <x v="34"/>
    <x v="1"/>
  </r>
  <r>
    <n v="19475"/>
    <x v="0"/>
    <x v="0"/>
    <n v="40000"/>
    <n v="0"/>
    <x v="0"/>
    <s v="Professional"/>
    <s v="No"/>
    <n v="0"/>
    <x v="0"/>
    <x v="0"/>
    <x v="0"/>
    <x v="8"/>
    <x v="1"/>
  </r>
  <r>
    <n v="19675"/>
    <x v="0"/>
    <x v="1"/>
    <n v="20000"/>
    <n v="4"/>
    <x v="2"/>
    <s v="Skilled Manual"/>
    <s v="Yes"/>
    <n v="2"/>
    <x v="2"/>
    <x v="1"/>
    <x v="1"/>
    <x v="2"/>
    <x v="0"/>
  </r>
  <r>
    <n v="12728"/>
    <x v="1"/>
    <x v="1"/>
    <n v="30000"/>
    <n v="0"/>
    <x v="1"/>
    <s v="Clerical"/>
    <s v="No"/>
    <n v="1"/>
    <x v="3"/>
    <x v="0"/>
    <x v="2"/>
    <x v="40"/>
    <x v="0"/>
  </r>
  <r>
    <n v="26154"/>
    <x v="0"/>
    <x v="1"/>
    <n v="60000"/>
    <n v="1"/>
    <x v="1"/>
    <s v="Skilled Manual"/>
    <s v="Yes"/>
    <n v="1"/>
    <x v="2"/>
    <x v="1"/>
    <x v="0"/>
    <x v="1"/>
    <x v="1"/>
  </r>
  <r>
    <n v="29117"/>
    <x v="1"/>
    <x v="1"/>
    <n v="100000"/>
    <n v="1"/>
    <x v="0"/>
    <s v="Management"/>
    <s v="No"/>
    <n v="3"/>
    <x v="0"/>
    <x v="1"/>
    <x v="0"/>
    <x v="28"/>
    <x v="0"/>
  </r>
  <r>
    <n v="17845"/>
    <x v="1"/>
    <x v="0"/>
    <n v="20000"/>
    <n v="0"/>
    <x v="3"/>
    <s v="Manual"/>
    <s v="No"/>
    <n v="2"/>
    <x v="3"/>
    <x v="0"/>
    <x v="0"/>
    <x v="21"/>
    <x v="0"/>
  </r>
  <r>
    <n v="25058"/>
    <x v="0"/>
    <x v="1"/>
    <n v="100000"/>
    <n v="1"/>
    <x v="0"/>
    <s v="Management"/>
    <s v="Yes"/>
    <n v="3"/>
    <x v="1"/>
    <x v="1"/>
    <x v="0"/>
    <x v="15"/>
    <x v="0"/>
  </r>
  <r>
    <n v="23426"/>
    <x v="1"/>
    <x v="1"/>
    <n v="80000"/>
    <n v="5"/>
    <x v="4"/>
    <s v="Management"/>
    <s v="Yes"/>
    <n v="3"/>
    <x v="0"/>
    <x v="1"/>
    <x v="0"/>
    <x v="8"/>
    <x v="0"/>
  </r>
  <r>
    <n v="14798"/>
    <x v="1"/>
    <x v="0"/>
    <n v="10000"/>
    <n v="4"/>
    <x v="3"/>
    <s v="Manual"/>
    <s v="Yes"/>
    <n v="2"/>
    <x v="0"/>
    <x v="0"/>
    <x v="0"/>
    <x v="3"/>
    <x v="1"/>
  </r>
  <r>
    <n v="12664"/>
    <x v="0"/>
    <x v="0"/>
    <n v="130000"/>
    <n v="5"/>
    <x v="1"/>
    <s v="Professional"/>
    <s v="Yes"/>
    <n v="4"/>
    <x v="0"/>
    <x v="0"/>
    <x v="1"/>
    <x v="14"/>
    <x v="0"/>
  </r>
  <r>
    <n v="23979"/>
    <x v="1"/>
    <x v="1"/>
    <n v="10000"/>
    <n v="2"/>
    <x v="1"/>
    <s v="Manual"/>
    <s v="No"/>
    <n v="0"/>
    <x v="0"/>
    <x v="0"/>
    <x v="0"/>
    <x v="5"/>
    <x v="0"/>
  </r>
  <r>
    <n v="25605"/>
    <x v="1"/>
    <x v="0"/>
    <n v="20000"/>
    <n v="2"/>
    <x v="1"/>
    <s v="Manual"/>
    <s v="No"/>
    <n v="1"/>
    <x v="0"/>
    <x v="0"/>
    <x v="0"/>
    <x v="9"/>
    <x v="1"/>
  </r>
  <r>
    <n v="20797"/>
    <x v="0"/>
    <x v="0"/>
    <n v="10000"/>
    <n v="1"/>
    <x v="0"/>
    <s v="Manual"/>
    <s v="Yes"/>
    <n v="0"/>
    <x v="0"/>
    <x v="0"/>
    <x v="0"/>
    <x v="28"/>
    <x v="0"/>
  </r>
  <r>
    <n v="21980"/>
    <x v="1"/>
    <x v="0"/>
    <n v="60000"/>
    <n v="1"/>
    <x v="0"/>
    <s v="Professional"/>
    <s v="Yes"/>
    <n v="1"/>
    <x v="2"/>
    <x v="1"/>
    <x v="0"/>
    <x v="20"/>
    <x v="1"/>
  </r>
  <r>
    <n v="25460"/>
    <x v="0"/>
    <x v="0"/>
    <n v="20000"/>
    <n v="2"/>
    <x v="2"/>
    <s v="Manual"/>
    <s v="Yes"/>
    <n v="0"/>
    <x v="0"/>
    <x v="0"/>
    <x v="0"/>
    <x v="8"/>
    <x v="1"/>
  </r>
  <r>
    <n v="29181"/>
    <x v="1"/>
    <x v="0"/>
    <n v="60000"/>
    <n v="2"/>
    <x v="0"/>
    <s v="Professional"/>
    <s v="No"/>
    <n v="1"/>
    <x v="0"/>
    <x v="1"/>
    <x v="0"/>
    <x v="13"/>
    <x v="1"/>
  </r>
  <r>
    <n v="24279"/>
    <x v="1"/>
    <x v="1"/>
    <n v="40000"/>
    <n v="2"/>
    <x v="1"/>
    <s v="Skilled Manual"/>
    <s v="No"/>
    <n v="2"/>
    <x v="3"/>
    <x v="1"/>
    <x v="0"/>
    <x v="31"/>
    <x v="0"/>
  </r>
  <r>
    <n v="22402"/>
    <x v="0"/>
    <x v="1"/>
    <n v="10000"/>
    <n v="0"/>
    <x v="1"/>
    <s v="Manual"/>
    <s v="Yes"/>
    <n v="1"/>
    <x v="1"/>
    <x v="1"/>
    <x v="2"/>
    <x v="37"/>
    <x v="1"/>
  </r>
  <r>
    <n v="15465"/>
    <x v="0"/>
    <x v="0"/>
    <n v="10000"/>
    <n v="0"/>
    <x v="1"/>
    <s v="Manual"/>
    <s v="No"/>
    <n v="1"/>
    <x v="0"/>
    <x v="1"/>
    <x v="2"/>
    <x v="37"/>
    <x v="0"/>
  </r>
  <r>
    <n v="26757"/>
    <x v="1"/>
    <x v="1"/>
    <n v="90000"/>
    <n v="1"/>
    <x v="0"/>
    <s v="Professional"/>
    <s v="Yes"/>
    <n v="1"/>
    <x v="1"/>
    <x v="1"/>
    <x v="0"/>
    <x v="15"/>
    <x v="1"/>
  </r>
  <r>
    <n v="14233"/>
    <x v="1"/>
    <x v="1"/>
    <n v="100000"/>
    <n v="0"/>
    <x v="2"/>
    <s v="Management"/>
    <s v="Yes"/>
    <n v="3"/>
    <x v="4"/>
    <x v="1"/>
    <x v="0"/>
    <x v="11"/>
    <x v="0"/>
  </r>
  <r>
    <n v="14058"/>
    <x v="1"/>
    <x v="1"/>
    <n v="70000"/>
    <n v="0"/>
    <x v="0"/>
    <s v="Professional"/>
    <s v="No"/>
    <n v="1"/>
    <x v="2"/>
    <x v="1"/>
    <x v="0"/>
    <x v="3"/>
    <x v="1"/>
  </r>
  <r>
    <n v="12273"/>
    <x v="0"/>
    <x v="1"/>
    <n v="30000"/>
    <n v="1"/>
    <x v="0"/>
    <s v="Clerical"/>
    <s v="Yes"/>
    <n v="0"/>
    <x v="0"/>
    <x v="0"/>
    <x v="0"/>
    <x v="15"/>
    <x v="0"/>
  </r>
  <r>
    <n v="17203"/>
    <x v="0"/>
    <x v="0"/>
    <n v="130000"/>
    <n v="4"/>
    <x v="1"/>
    <s v="Professional"/>
    <s v="Yes"/>
    <n v="4"/>
    <x v="2"/>
    <x v="0"/>
    <x v="1"/>
    <x v="33"/>
    <x v="1"/>
  </r>
  <r>
    <n v="18144"/>
    <x v="0"/>
    <x v="0"/>
    <n v="80000"/>
    <n v="5"/>
    <x v="0"/>
    <s v="Management"/>
    <s v="Yes"/>
    <n v="2"/>
    <x v="1"/>
    <x v="0"/>
    <x v="1"/>
    <x v="33"/>
    <x v="0"/>
  </r>
  <r>
    <n v="23963"/>
    <x v="0"/>
    <x v="1"/>
    <n v="10000"/>
    <n v="0"/>
    <x v="3"/>
    <s v="Manual"/>
    <s v="No"/>
    <n v="2"/>
    <x v="0"/>
    <x v="0"/>
    <x v="0"/>
    <x v="6"/>
    <x v="0"/>
  </r>
  <r>
    <n v="17907"/>
    <x v="0"/>
    <x v="0"/>
    <n v="10000"/>
    <n v="0"/>
    <x v="1"/>
    <s v="Manual"/>
    <s v="Yes"/>
    <n v="1"/>
    <x v="1"/>
    <x v="1"/>
    <x v="2"/>
    <x v="40"/>
    <x v="0"/>
  </r>
  <r>
    <n v="19442"/>
    <x v="1"/>
    <x v="1"/>
    <n v="50000"/>
    <n v="0"/>
    <x v="4"/>
    <s v="Skilled Manual"/>
    <s v="Yes"/>
    <n v="0"/>
    <x v="0"/>
    <x v="0"/>
    <x v="0"/>
    <x v="34"/>
    <x v="1"/>
  </r>
  <r>
    <n v="17504"/>
    <x v="1"/>
    <x v="0"/>
    <n v="80000"/>
    <n v="2"/>
    <x v="1"/>
    <s v="Skilled Manual"/>
    <s v="Yes"/>
    <n v="2"/>
    <x v="2"/>
    <x v="1"/>
    <x v="0"/>
    <x v="31"/>
    <x v="1"/>
  </r>
  <r>
    <n v="12253"/>
    <x v="1"/>
    <x v="0"/>
    <n v="20000"/>
    <n v="0"/>
    <x v="1"/>
    <s v="Manual"/>
    <s v="Yes"/>
    <n v="0"/>
    <x v="0"/>
    <x v="1"/>
    <x v="2"/>
    <x v="19"/>
    <x v="1"/>
  </r>
  <r>
    <n v="27304"/>
    <x v="1"/>
    <x v="0"/>
    <n v="110000"/>
    <n v="2"/>
    <x v="1"/>
    <s v="Professional"/>
    <s v="No"/>
    <n v="3"/>
    <x v="2"/>
    <x v="0"/>
    <x v="0"/>
    <x v="28"/>
    <x v="0"/>
  </r>
  <r>
    <n v="14191"/>
    <x v="0"/>
    <x v="1"/>
    <n v="160000"/>
    <n v="4"/>
    <x v="1"/>
    <s v="Professional"/>
    <s v="No"/>
    <n v="2"/>
    <x v="4"/>
    <x v="0"/>
    <x v="1"/>
    <x v="10"/>
    <x v="1"/>
  </r>
  <r>
    <n v="12212"/>
    <x v="0"/>
    <x v="0"/>
    <n v="10000"/>
    <n v="0"/>
    <x v="4"/>
    <s v="Manual"/>
    <s v="Yes"/>
    <n v="0"/>
    <x v="0"/>
    <x v="0"/>
    <x v="0"/>
    <x v="34"/>
    <x v="1"/>
  </r>
  <r>
    <n v="25529"/>
    <x v="1"/>
    <x v="1"/>
    <n v="10000"/>
    <n v="1"/>
    <x v="4"/>
    <s v="Manual"/>
    <s v="Yes"/>
    <n v="0"/>
    <x v="0"/>
    <x v="0"/>
    <x v="0"/>
    <x v="20"/>
    <x v="0"/>
  </r>
  <r>
    <n v="22170"/>
    <x v="0"/>
    <x v="0"/>
    <n v="30000"/>
    <n v="3"/>
    <x v="1"/>
    <s v="Clerical"/>
    <s v="No"/>
    <n v="2"/>
    <x v="3"/>
    <x v="1"/>
    <x v="1"/>
    <x v="10"/>
    <x v="1"/>
  </r>
  <r>
    <n v="19445"/>
    <x v="0"/>
    <x v="0"/>
    <n v="10000"/>
    <n v="2"/>
    <x v="2"/>
    <s v="Manual"/>
    <s v="No"/>
    <n v="1"/>
    <x v="0"/>
    <x v="0"/>
    <x v="0"/>
    <x v="13"/>
    <x v="0"/>
  </r>
  <r>
    <n v="15265"/>
    <x v="1"/>
    <x v="1"/>
    <n v="40000"/>
    <n v="2"/>
    <x v="0"/>
    <s v="Management"/>
    <s v="Yes"/>
    <n v="2"/>
    <x v="2"/>
    <x v="1"/>
    <x v="1"/>
    <x v="29"/>
    <x v="1"/>
  </r>
  <r>
    <n v="28918"/>
    <x v="0"/>
    <x v="0"/>
    <n v="130000"/>
    <n v="4"/>
    <x v="2"/>
    <s v="Management"/>
    <s v="No"/>
    <n v="4"/>
    <x v="4"/>
    <x v="0"/>
    <x v="1"/>
    <x v="7"/>
    <x v="0"/>
  </r>
  <r>
    <n v="15799"/>
    <x v="0"/>
    <x v="0"/>
    <n v="90000"/>
    <n v="1"/>
    <x v="0"/>
    <s v="Professional"/>
    <s v="Yes"/>
    <n v="1"/>
    <x v="1"/>
    <x v="1"/>
    <x v="0"/>
    <x v="15"/>
    <x v="1"/>
  </r>
  <r>
    <n v="11047"/>
    <x v="0"/>
    <x v="0"/>
    <n v="30000"/>
    <n v="3"/>
    <x v="2"/>
    <s v="Skilled Manual"/>
    <s v="No"/>
    <n v="2"/>
    <x v="3"/>
    <x v="1"/>
    <x v="1"/>
    <x v="16"/>
    <x v="1"/>
  </r>
  <r>
    <n v="18151"/>
    <x v="1"/>
    <x v="1"/>
    <n v="80000"/>
    <n v="5"/>
    <x v="1"/>
    <s v="Professional"/>
    <s v="No"/>
    <n v="2"/>
    <x v="4"/>
    <x v="0"/>
    <x v="1"/>
    <x v="14"/>
    <x v="0"/>
  </r>
  <r>
    <n v="20606"/>
    <x v="0"/>
    <x v="0"/>
    <n v="70000"/>
    <n v="0"/>
    <x v="0"/>
    <s v="Professional"/>
    <s v="Yes"/>
    <n v="4"/>
    <x v="4"/>
    <x v="1"/>
    <x v="0"/>
    <x v="21"/>
    <x v="1"/>
  </r>
  <r>
    <n v="19482"/>
    <x v="0"/>
    <x v="1"/>
    <n v="30000"/>
    <n v="1"/>
    <x v="1"/>
    <s v="Clerical"/>
    <s v="Yes"/>
    <n v="1"/>
    <x v="0"/>
    <x v="0"/>
    <x v="0"/>
    <x v="20"/>
    <x v="1"/>
  </r>
  <r>
    <n v="16489"/>
    <x v="0"/>
    <x v="1"/>
    <n v="30000"/>
    <n v="3"/>
    <x v="2"/>
    <s v="Skilled Manual"/>
    <s v="Yes"/>
    <n v="2"/>
    <x v="2"/>
    <x v="1"/>
    <x v="1"/>
    <x v="10"/>
    <x v="0"/>
  </r>
  <r>
    <n v="26944"/>
    <x v="1"/>
    <x v="1"/>
    <n v="90000"/>
    <n v="2"/>
    <x v="2"/>
    <s v="Manual"/>
    <s v="Yes"/>
    <n v="0"/>
    <x v="0"/>
    <x v="0"/>
    <x v="0"/>
    <x v="4"/>
    <x v="1"/>
  </r>
  <r>
    <n v="15682"/>
    <x v="1"/>
    <x v="0"/>
    <n v="80000"/>
    <n v="5"/>
    <x v="0"/>
    <s v="Management"/>
    <s v="Yes"/>
    <n v="2"/>
    <x v="4"/>
    <x v="0"/>
    <x v="1"/>
    <x v="24"/>
    <x v="0"/>
  </r>
  <r>
    <n v="26032"/>
    <x v="0"/>
    <x v="0"/>
    <n v="70000"/>
    <n v="5"/>
    <x v="0"/>
    <s v="Professional"/>
    <s v="Yes"/>
    <n v="4"/>
    <x v="4"/>
    <x v="1"/>
    <x v="0"/>
    <x v="3"/>
    <x v="0"/>
  </r>
  <r>
    <n v="17843"/>
    <x v="1"/>
    <x v="0"/>
    <n v="10000"/>
    <n v="0"/>
    <x v="3"/>
    <s v="Manual"/>
    <s v="No"/>
    <n v="2"/>
    <x v="0"/>
    <x v="0"/>
    <x v="0"/>
    <x v="21"/>
    <x v="0"/>
  </r>
  <r>
    <n v="25559"/>
    <x v="1"/>
    <x v="1"/>
    <n v="20000"/>
    <n v="0"/>
    <x v="0"/>
    <s v="Clerical"/>
    <s v="Yes"/>
    <n v="0"/>
    <x v="0"/>
    <x v="1"/>
    <x v="2"/>
    <x v="37"/>
    <x v="1"/>
  </r>
  <r>
    <n v="16209"/>
    <x v="1"/>
    <x v="0"/>
    <n v="50000"/>
    <n v="0"/>
    <x v="4"/>
    <s v="Skilled Manual"/>
    <s v="Yes"/>
    <n v="0"/>
    <x v="3"/>
    <x v="0"/>
    <x v="0"/>
    <x v="4"/>
    <x v="0"/>
  </r>
  <r>
    <n v="11147"/>
    <x v="0"/>
    <x v="1"/>
    <n v="60000"/>
    <n v="2"/>
    <x v="4"/>
    <s v="Management"/>
    <s v="Yes"/>
    <n v="1"/>
    <x v="0"/>
    <x v="1"/>
    <x v="1"/>
    <x v="41"/>
    <x v="1"/>
  </r>
  <r>
    <n v="15214"/>
    <x v="1"/>
    <x v="0"/>
    <n v="100000"/>
    <n v="0"/>
    <x v="4"/>
    <s v="Management"/>
    <s v="No"/>
    <n v="1"/>
    <x v="3"/>
    <x v="1"/>
    <x v="0"/>
    <x v="32"/>
    <x v="1"/>
  </r>
  <r>
    <n v="11453"/>
    <x v="1"/>
    <x v="1"/>
    <n v="80000"/>
    <n v="0"/>
    <x v="0"/>
    <s v="Professional"/>
    <s v="No"/>
    <n v="3"/>
    <x v="4"/>
    <x v="1"/>
    <x v="0"/>
    <x v="6"/>
    <x v="1"/>
  </r>
  <r>
    <n v="24584"/>
    <x v="1"/>
    <x v="1"/>
    <n v="60000"/>
    <n v="0"/>
    <x v="0"/>
    <s v="Professional"/>
    <s v="No"/>
    <n v="3"/>
    <x v="1"/>
    <x v="1"/>
    <x v="0"/>
    <x v="23"/>
    <x v="0"/>
  </r>
  <r>
    <n v="12585"/>
    <x v="0"/>
    <x v="1"/>
    <n v="10000"/>
    <n v="1"/>
    <x v="2"/>
    <s v="Manual"/>
    <s v="Yes"/>
    <n v="0"/>
    <x v="1"/>
    <x v="1"/>
    <x v="2"/>
    <x v="40"/>
    <x v="1"/>
  </r>
  <r>
    <n v="18626"/>
    <x v="1"/>
    <x v="1"/>
    <n v="40000"/>
    <n v="2"/>
    <x v="1"/>
    <s v="Clerical"/>
    <s v="Yes"/>
    <n v="0"/>
    <x v="3"/>
    <x v="0"/>
    <x v="0"/>
    <x v="6"/>
    <x v="1"/>
  </r>
  <r>
    <n v="29298"/>
    <x v="1"/>
    <x v="0"/>
    <n v="60000"/>
    <n v="1"/>
    <x v="1"/>
    <s v="Skilled Manual"/>
    <s v="Yes"/>
    <n v="1"/>
    <x v="2"/>
    <x v="1"/>
    <x v="0"/>
    <x v="30"/>
    <x v="1"/>
  </r>
  <r>
    <n v="24842"/>
    <x v="1"/>
    <x v="0"/>
    <n v="90000"/>
    <n v="3"/>
    <x v="2"/>
    <s v="Professional"/>
    <s v="No"/>
    <n v="1"/>
    <x v="1"/>
    <x v="0"/>
    <x v="0"/>
    <x v="36"/>
    <x v="0"/>
  </r>
  <r>
    <n v="15657"/>
    <x v="0"/>
    <x v="1"/>
    <n v="30000"/>
    <n v="3"/>
    <x v="4"/>
    <s v="Clerical"/>
    <s v="Yes"/>
    <n v="0"/>
    <x v="0"/>
    <x v="0"/>
    <x v="0"/>
    <x v="30"/>
    <x v="1"/>
  </r>
  <r>
    <n v="11415"/>
    <x v="1"/>
    <x v="1"/>
    <n v="90000"/>
    <n v="5"/>
    <x v="1"/>
    <s v="Professional"/>
    <s v="No"/>
    <n v="2"/>
    <x v="4"/>
    <x v="0"/>
    <x v="1"/>
    <x v="24"/>
    <x v="0"/>
  </r>
  <r>
    <n v="28729"/>
    <x v="1"/>
    <x v="0"/>
    <n v="20000"/>
    <n v="0"/>
    <x v="3"/>
    <s v="Manual"/>
    <s v="Yes"/>
    <n v="2"/>
    <x v="3"/>
    <x v="0"/>
    <x v="2"/>
    <x v="22"/>
    <x v="1"/>
  </r>
  <r>
    <n v="22633"/>
    <x v="1"/>
    <x v="0"/>
    <n v="40000"/>
    <n v="0"/>
    <x v="4"/>
    <s v="Clerical"/>
    <s v="Yes"/>
    <n v="0"/>
    <x v="0"/>
    <x v="0"/>
    <x v="0"/>
    <x v="34"/>
    <x v="1"/>
  </r>
  <r>
    <n v="25649"/>
    <x v="1"/>
    <x v="0"/>
    <n v="30000"/>
    <n v="3"/>
    <x v="1"/>
    <s v="Clerical"/>
    <s v="Yes"/>
    <n v="0"/>
    <x v="0"/>
    <x v="0"/>
    <x v="0"/>
    <x v="0"/>
    <x v="1"/>
  </r>
  <r>
    <n v="14669"/>
    <x v="0"/>
    <x v="0"/>
    <n v="80000"/>
    <n v="4"/>
    <x v="4"/>
    <s v="Management"/>
    <s v="Yes"/>
    <n v="1"/>
    <x v="0"/>
    <x v="1"/>
    <x v="0"/>
    <x v="4"/>
    <x v="0"/>
  </r>
  <r>
    <n v="19299"/>
    <x v="0"/>
    <x v="0"/>
    <n v="50000"/>
    <n v="0"/>
    <x v="4"/>
    <s v="Skilled Manual"/>
    <s v="Yes"/>
    <n v="0"/>
    <x v="0"/>
    <x v="0"/>
    <x v="0"/>
    <x v="4"/>
    <x v="1"/>
  </r>
  <r>
    <n v="20946"/>
    <x v="1"/>
    <x v="0"/>
    <n v="30000"/>
    <n v="0"/>
    <x v="1"/>
    <s v="Clerical"/>
    <s v="No"/>
    <n v="1"/>
    <x v="1"/>
    <x v="0"/>
    <x v="2"/>
    <x v="25"/>
    <x v="0"/>
  </r>
  <r>
    <n v="11451"/>
    <x v="1"/>
    <x v="1"/>
    <n v="70000"/>
    <n v="0"/>
    <x v="0"/>
    <s v="Professional"/>
    <s v="No"/>
    <n v="4"/>
    <x v="4"/>
    <x v="1"/>
    <x v="0"/>
    <x v="23"/>
    <x v="1"/>
  </r>
  <r>
    <n v="25553"/>
    <x v="0"/>
    <x v="1"/>
    <n v="30000"/>
    <n v="1"/>
    <x v="0"/>
    <s v="Clerical"/>
    <s v="Yes"/>
    <n v="0"/>
    <x v="0"/>
    <x v="0"/>
    <x v="1"/>
    <x v="27"/>
    <x v="1"/>
  </r>
  <r>
    <n v="27951"/>
    <x v="1"/>
    <x v="1"/>
    <n v="80000"/>
    <n v="4"/>
    <x v="1"/>
    <s v="Professional"/>
    <s v="No"/>
    <n v="2"/>
    <x v="1"/>
    <x v="0"/>
    <x v="0"/>
    <x v="9"/>
    <x v="1"/>
  </r>
  <r>
    <n v="25026"/>
    <x v="0"/>
    <x v="1"/>
    <n v="20000"/>
    <n v="2"/>
    <x v="3"/>
    <s v="Clerical"/>
    <s v="Yes"/>
    <n v="3"/>
    <x v="2"/>
    <x v="1"/>
    <x v="0"/>
    <x v="9"/>
    <x v="0"/>
  </r>
  <r>
    <n v="13673"/>
    <x v="1"/>
    <x v="0"/>
    <n v="20000"/>
    <n v="0"/>
    <x v="3"/>
    <s v="Manual"/>
    <s v="No"/>
    <n v="2"/>
    <x v="0"/>
    <x v="0"/>
    <x v="2"/>
    <x v="37"/>
    <x v="0"/>
  </r>
  <r>
    <n v="16043"/>
    <x v="1"/>
    <x v="1"/>
    <n v="10000"/>
    <n v="1"/>
    <x v="0"/>
    <s v="Manual"/>
    <s v="Yes"/>
    <n v="0"/>
    <x v="0"/>
    <x v="0"/>
    <x v="0"/>
    <x v="28"/>
    <x v="0"/>
  </r>
  <r>
    <n v="22399"/>
    <x v="1"/>
    <x v="1"/>
    <n v="10000"/>
    <n v="0"/>
    <x v="1"/>
    <s v="Manual"/>
    <s v="Yes"/>
    <n v="1"/>
    <x v="3"/>
    <x v="1"/>
    <x v="2"/>
    <x v="22"/>
    <x v="1"/>
  </r>
  <r>
    <n v="27696"/>
    <x v="0"/>
    <x v="1"/>
    <n v="60000"/>
    <n v="1"/>
    <x v="0"/>
    <s v="Professional"/>
    <s v="Yes"/>
    <n v="1"/>
    <x v="2"/>
    <x v="1"/>
    <x v="0"/>
    <x v="1"/>
    <x v="1"/>
  </r>
  <r>
    <n v="25313"/>
    <x v="1"/>
    <x v="1"/>
    <n v="10000"/>
    <n v="0"/>
    <x v="3"/>
    <s v="Manual"/>
    <s v="No"/>
    <n v="2"/>
    <x v="3"/>
    <x v="0"/>
    <x v="0"/>
    <x v="11"/>
    <x v="0"/>
  </r>
  <r>
    <n v="13813"/>
    <x v="0"/>
    <x v="0"/>
    <n v="30000"/>
    <n v="3"/>
    <x v="1"/>
    <s v="Clerical"/>
    <s v="No"/>
    <n v="0"/>
    <x v="0"/>
    <x v="0"/>
    <x v="0"/>
    <x v="0"/>
    <x v="0"/>
  </r>
  <r>
    <n v="18711"/>
    <x v="1"/>
    <x v="0"/>
    <n v="70000"/>
    <n v="5"/>
    <x v="0"/>
    <s v="Professional"/>
    <s v="Yes"/>
    <n v="4"/>
    <x v="4"/>
    <x v="1"/>
    <x v="0"/>
    <x v="32"/>
    <x v="0"/>
  </r>
  <r>
    <n v="19650"/>
    <x v="0"/>
    <x v="0"/>
    <n v="30000"/>
    <n v="2"/>
    <x v="1"/>
    <s v="Clerical"/>
    <s v="No"/>
    <n v="2"/>
    <x v="0"/>
    <x v="1"/>
    <x v="1"/>
    <x v="41"/>
    <x v="0"/>
  </r>
  <r>
    <n v="14135"/>
    <x v="0"/>
    <x v="1"/>
    <n v="20000"/>
    <n v="1"/>
    <x v="1"/>
    <s v="Manual"/>
    <s v="Yes"/>
    <n v="0"/>
    <x v="3"/>
    <x v="0"/>
    <x v="0"/>
    <x v="11"/>
    <x v="0"/>
  </r>
  <r>
    <n v="12833"/>
    <x v="1"/>
    <x v="0"/>
    <n v="20000"/>
    <n v="3"/>
    <x v="2"/>
    <s v="Manual"/>
    <s v="Yes"/>
    <n v="1"/>
    <x v="0"/>
    <x v="0"/>
    <x v="0"/>
    <x v="0"/>
    <x v="1"/>
  </r>
  <r>
    <n v="26849"/>
    <x v="0"/>
    <x v="1"/>
    <n v="10000"/>
    <n v="3"/>
    <x v="3"/>
    <s v="Manual"/>
    <s v="Yes"/>
    <n v="2"/>
    <x v="0"/>
    <x v="0"/>
    <x v="0"/>
    <x v="1"/>
    <x v="0"/>
  </r>
  <r>
    <n v="20962"/>
    <x v="0"/>
    <x v="0"/>
    <n v="20000"/>
    <n v="1"/>
    <x v="4"/>
    <s v="Clerical"/>
    <s v="Yes"/>
    <n v="0"/>
    <x v="0"/>
    <x v="0"/>
    <x v="0"/>
    <x v="12"/>
    <x v="0"/>
  </r>
  <r>
    <n v="28915"/>
    <x v="1"/>
    <x v="1"/>
    <n v="80000"/>
    <n v="5"/>
    <x v="2"/>
    <s v="Management"/>
    <s v="Yes"/>
    <n v="3"/>
    <x v="4"/>
    <x v="0"/>
    <x v="1"/>
    <x v="42"/>
    <x v="0"/>
  </r>
  <r>
    <n v="22830"/>
    <x v="0"/>
    <x v="1"/>
    <n v="120000"/>
    <n v="4"/>
    <x v="1"/>
    <s v="Management"/>
    <s v="Yes"/>
    <n v="3"/>
    <x v="4"/>
    <x v="0"/>
    <x v="1"/>
    <x v="16"/>
    <x v="0"/>
  </r>
  <r>
    <n v="14777"/>
    <x v="0"/>
    <x v="0"/>
    <n v="40000"/>
    <n v="0"/>
    <x v="0"/>
    <s v="Clerical"/>
    <s v="Yes"/>
    <n v="0"/>
    <x v="0"/>
    <x v="0"/>
    <x v="0"/>
    <x v="13"/>
    <x v="1"/>
  </r>
  <r>
    <n v="12591"/>
    <x v="0"/>
    <x v="0"/>
    <n v="30000"/>
    <n v="4"/>
    <x v="4"/>
    <s v="Clerical"/>
    <s v="Yes"/>
    <n v="0"/>
    <x v="0"/>
    <x v="0"/>
    <x v="0"/>
    <x v="12"/>
    <x v="0"/>
  </r>
  <r>
    <n v="24174"/>
    <x v="0"/>
    <x v="1"/>
    <n v="20000"/>
    <n v="0"/>
    <x v="0"/>
    <s v="Clerical"/>
    <s v="Yes"/>
    <n v="0"/>
    <x v="0"/>
    <x v="1"/>
    <x v="2"/>
    <x v="40"/>
    <x v="1"/>
  </r>
  <r>
    <n v="24611"/>
    <x v="1"/>
    <x v="1"/>
    <n v="90000"/>
    <n v="0"/>
    <x v="0"/>
    <s v="Professional"/>
    <s v="No"/>
    <n v="4"/>
    <x v="4"/>
    <x v="1"/>
    <x v="0"/>
    <x v="11"/>
    <x v="1"/>
  </r>
  <r>
    <n v="11340"/>
    <x v="0"/>
    <x v="0"/>
    <n v="10000"/>
    <n v="1"/>
    <x v="4"/>
    <s v="Clerical"/>
    <s v="Yes"/>
    <n v="0"/>
    <x v="0"/>
    <x v="0"/>
    <x v="1"/>
    <x v="43"/>
    <x v="1"/>
  </r>
  <r>
    <n v="25693"/>
    <x v="1"/>
    <x v="0"/>
    <n v="30000"/>
    <n v="5"/>
    <x v="4"/>
    <s v="Clerical"/>
    <s v="Yes"/>
    <n v="0"/>
    <x v="0"/>
    <x v="0"/>
    <x v="0"/>
    <x v="20"/>
    <x v="1"/>
  </r>
  <r>
    <n v="25555"/>
    <x v="0"/>
    <x v="0"/>
    <n v="10000"/>
    <n v="0"/>
    <x v="1"/>
    <s v="Manual"/>
    <s v="No"/>
    <n v="1"/>
    <x v="0"/>
    <x v="1"/>
    <x v="2"/>
    <x v="22"/>
    <x v="1"/>
  </r>
  <r>
    <n v="22006"/>
    <x v="0"/>
    <x v="1"/>
    <n v="70000"/>
    <n v="5"/>
    <x v="1"/>
    <s v="Skilled Manual"/>
    <s v="Yes"/>
    <n v="3"/>
    <x v="2"/>
    <x v="1"/>
    <x v="0"/>
    <x v="30"/>
    <x v="0"/>
  </r>
  <r>
    <n v="20060"/>
    <x v="1"/>
    <x v="0"/>
    <n v="30000"/>
    <n v="0"/>
    <x v="2"/>
    <s v="Manual"/>
    <s v="No"/>
    <n v="1"/>
    <x v="1"/>
    <x v="0"/>
    <x v="0"/>
    <x v="17"/>
    <x v="1"/>
  </r>
  <r>
    <n v="17702"/>
    <x v="0"/>
    <x v="1"/>
    <n v="10000"/>
    <n v="1"/>
    <x v="4"/>
    <s v="Manual"/>
    <s v="Yes"/>
    <n v="0"/>
    <x v="0"/>
    <x v="0"/>
    <x v="0"/>
    <x v="34"/>
    <x v="0"/>
  </r>
  <r>
    <n v="12503"/>
    <x v="1"/>
    <x v="0"/>
    <n v="30000"/>
    <n v="3"/>
    <x v="1"/>
    <s v="Clerical"/>
    <s v="Yes"/>
    <n v="2"/>
    <x v="0"/>
    <x v="0"/>
    <x v="2"/>
    <x v="40"/>
    <x v="0"/>
  </r>
  <r>
    <n v="23908"/>
    <x v="1"/>
    <x v="1"/>
    <n v="30000"/>
    <n v="1"/>
    <x v="0"/>
    <s v="Clerical"/>
    <s v="No"/>
    <n v="1"/>
    <x v="0"/>
    <x v="0"/>
    <x v="0"/>
    <x v="32"/>
    <x v="1"/>
  </r>
  <r>
    <n v="22527"/>
    <x v="1"/>
    <x v="0"/>
    <n v="20000"/>
    <n v="0"/>
    <x v="2"/>
    <s v="Manual"/>
    <s v="No"/>
    <n v="1"/>
    <x v="1"/>
    <x v="0"/>
    <x v="2"/>
    <x v="19"/>
    <x v="0"/>
  </r>
  <r>
    <n v="19057"/>
    <x v="0"/>
    <x v="0"/>
    <n v="120000"/>
    <n v="3"/>
    <x v="0"/>
    <s v="Management"/>
    <s v="No"/>
    <n v="2"/>
    <x v="4"/>
    <x v="0"/>
    <x v="0"/>
    <x v="31"/>
    <x v="1"/>
  </r>
  <r>
    <n v="18494"/>
    <x v="0"/>
    <x v="1"/>
    <n v="110000"/>
    <n v="5"/>
    <x v="0"/>
    <s v="Management"/>
    <s v="Yes"/>
    <n v="4"/>
    <x v="1"/>
    <x v="1"/>
    <x v="0"/>
    <x v="28"/>
    <x v="1"/>
  </r>
  <r>
    <n v="11249"/>
    <x v="0"/>
    <x v="0"/>
    <n v="130000"/>
    <n v="3"/>
    <x v="1"/>
    <s v="Professional"/>
    <s v="Yes"/>
    <n v="3"/>
    <x v="0"/>
    <x v="0"/>
    <x v="0"/>
    <x v="36"/>
    <x v="1"/>
  </r>
  <r>
    <n v="21568"/>
    <x v="0"/>
    <x v="0"/>
    <n v="100000"/>
    <n v="0"/>
    <x v="2"/>
    <s v="Management"/>
    <s v="Yes"/>
    <n v="4"/>
    <x v="4"/>
    <x v="1"/>
    <x v="0"/>
    <x v="17"/>
    <x v="1"/>
  </r>
  <r>
    <n v="13981"/>
    <x v="0"/>
    <x v="0"/>
    <n v="10000"/>
    <n v="5"/>
    <x v="2"/>
    <s v="Skilled Manual"/>
    <s v="No"/>
    <n v="3"/>
    <x v="3"/>
    <x v="1"/>
    <x v="1"/>
    <x v="24"/>
    <x v="0"/>
  </r>
  <r>
    <n v="23432"/>
    <x v="1"/>
    <x v="1"/>
    <n v="70000"/>
    <n v="0"/>
    <x v="0"/>
    <s v="Professional"/>
    <s v="Yes"/>
    <n v="1"/>
    <x v="2"/>
    <x v="1"/>
    <x v="0"/>
    <x v="34"/>
    <x v="1"/>
  </r>
  <r>
    <n v="22931"/>
    <x v="0"/>
    <x v="1"/>
    <n v="100000"/>
    <n v="5"/>
    <x v="4"/>
    <s v="Management"/>
    <s v="No"/>
    <n v="1"/>
    <x v="3"/>
    <x v="1"/>
    <x v="1"/>
    <x v="44"/>
    <x v="1"/>
  </r>
  <r>
    <n v="18172"/>
    <x v="0"/>
    <x v="1"/>
    <n v="130000"/>
    <n v="4"/>
    <x v="2"/>
    <s v="Professional"/>
    <s v="Yes"/>
    <n v="3"/>
    <x v="0"/>
    <x v="0"/>
    <x v="1"/>
    <x v="10"/>
    <x v="0"/>
  </r>
  <r>
    <n v="12666"/>
    <x v="1"/>
    <x v="1"/>
    <n v="60000"/>
    <n v="0"/>
    <x v="0"/>
    <s v="Professional"/>
    <s v="No"/>
    <n v="4"/>
    <x v="1"/>
    <x v="1"/>
    <x v="0"/>
    <x v="23"/>
    <x v="0"/>
  </r>
  <r>
    <n v="20598"/>
    <x v="0"/>
    <x v="1"/>
    <n v="100000"/>
    <n v="3"/>
    <x v="3"/>
    <s v="Professional"/>
    <s v="Yes"/>
    <n v="0"/>
    <x v="4"/>
    <x v="0"/>
    <x v="1"/>
    <x v="14"/>
    <x v="1"/>
  </r>
  <r>
    <n v="21375"/>
    <x v="1"/>
    <x v="1"/>
    <n v="20000"/>
    <n v="2"/>
    <x v="3"/>
    <s v="Clerical"/>
    <s v="Yes"/>
    <n v="2"/>
    <x v="2"/>
    <x v="1"/>
    <x v="1"/>
    <x v="42"/>
    <x v="0"/>
  </r>
  <r>
    <n v="20839"/>
    <x v="1"/>
    <x v="0"/>
    <n v="30000"/>
    <n v="3"/>
    <x v="4"/>
    <s v="Clerical"/>
    <s v="Yes"/>
    <n v="0"/>
    <x v="0"/>
    <x v="0"/>
    <x v="0"/>
    <x v="15"/>
    <x v="1"/>
  </r>
  <r>
    <n v="21738"/>
    <x v="0"/>
    <x v="1"/>
    <n v="20000"/>
    <n v="1"/>
    <x v="4"/>
    <s v="Clerical"/>
    <s v="Yes"/>
    <n v="0"/>
    <x v="0"/>
    <x v="0"/>
    <x v="0"/>
    <x v="1"/>
    <x v="0"/>
  </r>
  <r>
    <n v="14164"/>
    <x v="1"/>
    <x v="0"/>
    <n v="50000"/>
    <n v="0"/>
    <x v="4"/>
    <s v="Skilled Manual"/>
    <s v="Yes"/>
    <n v="0"/>
    <x v="0"/>
    <x v="0"/>
    <x v="0"/>
    <x v="4"/>
    <x v="1"/>
  </r>
  <r>
    <n v="14193"/>
    <x v="1"/>
    <x v="0"/>
    <n v="100000"/>
    <n v="3"/>
    <x v="1"/>
    <s v="Management"/>
    <s v="Yes"/>
    <n v="4"/>
    <x v="4"/>
    <x v="0"/>
    <x v="1"/>
    <x v="16"/>
    <x v="0"/>
  </r>
  <r>
    <n v="12705"/>
    <x v="0"/>
    <x v="1"/>
    <n v="150000"/>
    <n v="0"/>
    <x v="0"/>
    <s v="Management"/>
    <s v="Yes"/>
    <n v="4"/>
    <x v="0"/>
    <x v="1"/>
    <x v="0"/>
    <x v="34"/>
    <x v="1"/>
  </r>
  <r>
    <n v="22672"/>
    <x v="1"/>
    <x v="0"/>
    <n v="30000"/>
    <n v="2"/>
    <x v="1"/>
    <s v="Clerical"/>
    <s v="Yes"/>
    <n v="0"/>
    <x v="0"/>
    <x v="0"/>
    <x v="0"/>
    <x v="1"/>
    <x v="0"/>
  </r>
  <r>
    <n v="26219"/>
    <x v="0"/>
    <x v="0"/>
    <n v="40000"/>
    <n v="1"/>
    <x v="0"/>
    <s v="Skilled Manual"/>
    <s v="Yes"/>
    <n v="1"/>
    <x v="3"/>
    <x v="0"/>
    <x v="0"/>
    <x v="6"/>
    <x v="1"/>
  </r>
  <r>
    <n v="28468"/>
    <x v="0"/>
    <x v="0"/>
    <n v="10000"/>
    <n v="2"/>
    <x v="1"/>
    <s v="Manual"/>
    <s v="Yes"/>
    <n v="0"/>
    <x v="3"/>
    <x v="0"/>
    <x v="0"/>
    <x v="36"/>
    <x v="0"/>
  </r>
  <r>
    <n v="23419"/>
    <x v="1"/>
    <x v="0"/>
    <n v="70000"/>
    <n v="5"/>
    <x v="0"/>
    <s v="Professional"/>
    <s v="Yes"/>
    <n v="3"/>
    <x v="4"/>
    <x v="1"/>
    <x v="0"/>
    <x v="32"/>
    <x v="0"/>
  </r>
  <r>
    <n v="17964"/>
    <x v="0"/>
    <x v="1"/>
    <n v="40000"/>
    <n v="0"/>
    <x v="4"/>
    <s v="Clerical"/>
    <s v="Yes"/>
    <n v="0"/>
    <x v="0"/>
    <x v="0"/>
    <x v="0"/>
    <x v="34"/>
    <x v="1"/>
  </r>
  <r>
    <n v="20919"/>
    <x v="1"/>
    <x v="0"/>
    <n v="30000"/>
    <n v="2"/>
    <x v="1"/>
    <s v="Clerical"/>
    <s v="Yes"/>
    <n v="2"/>
    <x v="0"/>
    <x v="0"/>
    <x v="0"/>
    <x v="0"/>
    <x v="0"/>
  </r>
  <r>
    <n v="20927"/>
    <x v="1"/>
    <x v="0"/>
    <n v="20000"/>
    <n v="5"/>
    <x v="2"/>
    <s v="Manual"/>
    <s v="Yes"/>
    <n v="2"/>
    <x v="0"/>
    <x v="0"/>
    <x v="2"/>
    <x v="40"/>
    <x v="0"/>
  </r>
  <r>
    <n v="13133"/>
    <x v="1"/>
    <x v="1"/>
    <n v="100000"/>
    <n v="5"/>
    <x v="0"/>
    <s v="Professional"/>
    <s v="Yes"/>
    <n v="1"/>
    <x v="2"/>
    <x v="1"/>
    <x v="0"/>
    <x v="15"/>
    <x v="1"/>
  </r>
  <r>
    <n v="19626"/>
    <x v="0"/>
    <x v="1"/>
    <n v="70000"/>
    <n v="5"/>
    <x v="1"/>
    <s v="Skilled Manual"/>
    <s v="Yes"/>
    <n v="3"/>
    <x v="2"/>
    <x v="1"/>
    <x v="0"/>
    <x v="12"/>
    <x v="0"/>
  </r>
  <r>
    <n v="21039"/>
    <x v="1"/>
    <x v="0"/>
    <n v="50000"/>
    <n v="0"/>
    <x v="4"/>
    <s v="Skilled Manual"/>
    <s v="No"/>
    <n v="0"/>
    <x v="0"/>
    <x v="0"/>
    <x v="0"/>
    <x v="34"/>
    <x v="1"/>
  </r>
  <r>
    <n v="12231"/>
    <x v="1"/>
    <x v="0"/>
    <n v="10000"/>
    <n v="2"/>
    <x v="1"/>
    <s v="Manual"/>
    <s v="Yes"/>
    <n v="0"/>
    <x v="0"/>
    <x v="0"/>
    <x v="0"/>
    <x v="36"/>
    <x v="1"/>
  </r>
  <r>
    <n v="25665"/>
    <x v="1"/>
    <x v="0"/>
    <n v="20000"/>
    <n v="0"/>
    <x v="2"/>
    <s v="Manual"/>
    <s v="No"/>
    <n v="1"/>
    <x v="3"/>
    <x v="0"/>
    <x v="2"/>
    <x v="26"/>
    <x v="0"/>
  </r>
  <r>
    <n v="24061"/>
    <x v="0"/>
    <x v="1"/>
    <n v="10000"/>
    <n v="4"/>
    <x v="3"/>
    <s v="Manual"/>
    <s v="Yes"/>
    <n v="1"/>
    <x v="0"/>
    <x v="0"/>
    <x v="0"/>
    <x v="8"/>
    <x v="1"/>
  </r>
  <r>
    <n v="26879"/>
    <x v="1"/>
    <x v="0"/>
    <n v="20000"/>
    <n v="0"/>
    <x v="2"/>
    <s v="Manual"/>
    <s v="No"/>
    <n v="1"/>
    <x v="1"/>
    <x v="0"/>
    <x v="2"/>
    <x v="25"/>
    <x v="0"/>
  </r>
  <r>
    <n v="12284"/>
    <x v="0"/>
    <x v="0"/>
    <n v="30000"/>
    <n v="0"/>
    <x v="0"/>
    <s v="Clerical"/>
    <s v="No"/>
    <n v="0"/>
    <x v="0"/>
    <x v="0"/>
    <x v="0"/>
    <x v="4"/>
    <x v="1"/>
  </r>
  <r>
    <n v="26654"/>
    <x v="0"/>
    <x v="0"/>
    <n v="90000"/>
    <n v="1"/>
    <x v="4"/>
    <s v="Management"/>
    <s v="Yes"/>
    <n v="0"/>
    <x v="0"/>
    <x v="1"/>
    <x v="0"/>
    <x v="34"/>
    <x v="1"/>
  </r>
  <r>
    <n v="14545"/>
    <x v="0"/>
    <x v="0"/>
    <n v="10000"/>
    <n v="2"/>
    <x v="1"/>
    <s v="Manual"/>
    <s v="Yes"/>
    <n v="0"/>
    <x v="3"/>
    <x v="0"/>
    <x v="0"/>
    <x v="38"/>
    <x v="0"/>
  </r>
  <r>
    <n v="24201"/>
    <x v="0"/>
    <x v="0"/>
    <n v="10000"/>
    <n v="2"/>
    <x v="2"/>
    <s v="Manual"/>
    <s v="Yes"/>
    <n v="0"/>
    <x v="0"/>
    <x v="0"/>
    <x v="0"/>
    <x v="34"/>
    <x v="1"/>
  </r>
  <r>
    <n v="20625"/>
    <x v="0"/>
    <x v="1"/>
    <n v="100000"/>
    <n v="0"/>
    <x v="2"/>
    <s v="Management"/>
    <s v="Yes"/>
    <n v="3"/>
    <x v="4"/>
    <x v="1"/>
    <x v="0"/>
    <x v="11"/>
    <x v="1"/>
  </r>
  <r>
    <n v="16390"/>
    <x v="1"/>
    <x v="1"/>
    <n v="30000"/>
    <n v="1"/>
    <x v="0"/>
    <s v="Clerical"/>
    <s v="No"/>
    <n v="0"/>
    <x v="0"/>
    <x v="0"/>
    <x v="0"/>
    <x v="13"/>
    <x v="1"/>
  </r>
  <r>
    <n v="14804"/>
    <x v="1"/>
    <x v="0"/>
    <n v="10000"/>
    <n v="3"/>
    <x v="3"/>
    <s v="Manual"/>
    <s v="Yes"/>
    <n v="2"/>
    <x v="0"/>
    <x v="0"/>
    <x v="0"/>
    <x v="1"/>
    <x v="0"/>
  </r>
  <r>
    <n v="12629"/>
    <x v="1"/>
    <x v="1"/>
    <n v="20000"/>
    <n v="1"/>
    <x v="1"/>
    <s v="Manual"/>
    <s v="No"/>
    <n v="0"/>
    <x v="0"/>
    <x v="0"/>
    <x v="0"/>
    <x v="34"/>
    <x v="0"/>
  </r>
  <r>
    <n v="14696"/>
    <x v="1"/>
    <x v="1"/>
    <n v="10000"/>
    <n v="0"/>
    <x v="3"/>
    <s v="Manual"/>
    <s v="No"/>
    <n v="2"/>
    <x v="0"/>
    <x v="0"/>
    <x v="0"/>
    <x v="17"/>
    <x v="0"/>
  </r>
  <r>
    <n v="22005"/>
    <x v="0"/>
    <x v="0"/>
    <n v="70000"/>
    <n v="5"/>
    <x v="1"/>
    <s v="Skilled Manual"/>
    <s v="No"/>
    <n v="3"/>
    <x v="2"/>
    <x v="1"/>
    <x v="0"/>
    <x v="30"/>
    <x v="0"/>
  </r>
  <r>
    <n v="14544"/>
    <x v="1"/>
    <x v="1"/>
    <n v="10000"/>
    <n v="1"/>
    <x v="1"/>
    <s v="Manual"/>
    <s v="Yes"/>
    <n v="0"/>
    <x v="0"/>
    <x v="0"/>
    <x v="0"/>
    <x v="38"/>
    <x v="0"/>
  </r>
  <r>
    <n v="14312"/>
    <x v="0"/>
    <x v="0"/>
    <n v="60000"/>
    <n v="1"/>
    <x v="1"/>
    <s v="Skilled Manual"/>
    <s v="Yes"/>
    <n v="1"/>
    <x v="2"/>
    <x v="1"/>
    <x v="0"/>
    <x v="12"/>
    <x v="0"/>
  </r>
  <r>
    <n v="29120"/>
    <x v="1"/>
    <x v="0"/>
    <n v="100000"/>
    <n v="1"/>
    <x v="0"/>
    <s v="Management"/>
    <s v="Yes"/>
    <n v="4"/>
    <x v="1"/>
    <x v="1"/>
    <x v="0"/>
    <x v="28"/>
    <x v="0"/>
  </r>
  <r>
    <n v="24187"/>
    <x v="1"/>
    <x v="0"/>
    <n v="30000"/>
    <n v="3"/>
    <x v="4"/>
    <s v="Clerical"/>
    <s v="No"/>
    <n v="0"/>
    <x v="0"/>
    <x v="0"/>
    <x v="0"/>
    <x v="30"/>
    <x v="1"/>
  </r>
  <r>
    <n v="15758"/>
    <x v="0"/>
    <x v="1"/>
    <n v="130000"/>
    <n v="0"/>
    <x v="4"/>
    <s v="Management"/>
    <s v="Yes"/>
    <n v="0"/>
    <x v="2"/>
    <x v="1"/>
    <x v="0"/>
    <x v="28"/>
    <x v="0"/>
  </r>
  <r>
    <n v="29094"/>
    <x v="0"/>
    <x v="1"/>
    <n v="30000"/>
    <n v="3"/>
    <x v="2"/>
    <s v="Skilled Manual"/>
    <s v="Yes"/>
    <n v="2"/>
    <x v="2"/>
    <x v="1"/>
    <x v="0"/>
    <x v="9"/>
    <x v="1"/>
  </r>
  <r>
    <n v="28319"/>
    <x v="1"/>
    <x v="0"/>
    <n v="60000"/>
    <n v="1"/>
    <x v="1"/>
    <s v="Skilled Manual"/>
    <s v="No"/>
    <n v="1"/>
    <x v="0"/>
    <x v="1"/>
    <x v="0"/>
    <x v="30"/>
    <x v="1"/>
  </r>
  <r>
    <n v="16406"/>
    <x v="0"/>
    <x v="1"/>
    <n v="40000"/>
    <n v="0"/>
    <x v="0"/>
    <s v="Clerical"/>
    <s v="No"/>
    <n v="0"/>
    <x v="0"/>
    <x v="0"/>
    <x v="0"/>
    <x v="13"/>
    <x v="1"/>
  </r>
  <r>
    <n v="20923"/>
    <x v="0"/>
    <x v="0"/>
    <n v="40000"/>
    <n v="1"/>
    <x v="0"/>
    <s v="Skilled Manual"/>
    <s v="Yes"/>
    <n v="0"/>
    <x v="0"/>
    <x v="0"/>
    <x v="0"/>
    <x v="0"/>
    <x v="1"/>
  </r>
  <r>
    <n v="11378"/>
    <x v="1"/>
    <x v="0"/>
    <n v="10000"/>
    <n v="1"/>
    <x v="2"/>
    <s v="Manual"/>
    <s v="No"/>
    <n v="1"/>
    <x v="1"/>
    <x v="0"/>
    <x v="0"/>
    <x v="30"/>
    <x v="1"/>
  </r>
  <r>
    <n v="20851"/>
    <x v="1"/>
    <x v="1"/>
    <n v="20000"/>
    <n v="0"/>
    <x v="1"/>
    <s v="Manual"/>
    <s v="No"/>
    <n v="1"/>
    <x v="1"/>
    <x v="0"/>
    <x v="0"/>
    <x v="4"/>
    <x v="1"/>
  </r>
  <r>
    <n v="21557"/>
    <x v="1"/>
    <x v="0"/>
    <n v="110000"/>
    <n v="0"/>
    <x v="1"/>
    <s v="Management"/>
    <s v="Yes"/>
    <n v="3"/>
    <x v="4"/>
    <x v="1"/>
    <x v="0"/>
    <x v="21"/>
    <x v="1"/>
  </r>
  <r>
    <n v="26663"/>
    <x v="1"/>
    <x v="0"/>
    <n v="60000"/>
    <n v="2"/>
    <x v="0"/>
    <s v="Professional"/>
    <s v="No"/>
    <n v="1"/>
    <x v="0"/>
    <x v="1"/>
    <x v="0"/>
    <x v="32"/>
    <x v="1"/>
  </r>
  <r>
    <n v="11896"/>
    <x v="0"/>
    <x v="1"/>
    <n v="100000"/>
    <n v="1"/>
    <x v="4"/>
    <s v="Management"/>
    <s v="Yes"/>
    <n v="0"/>
    <x v="1"/>
    <x v="1"/>
    <x v="0"/>
    <x v="4"/>
    <x v="1"/>
  </r>
  <r>
    <n v="14189"/>
    <x v="0"/>
    <x v="0"/>
    <n v="90000"/>
    <n v="4"/>
    <x v="2"/>
    <s v="Professional"/>
    <s v="No"/>
    <n v="2"/>
    <x v="1"/>
    <x v="0"/>
    <x v="0"/>
    <x v="9"/>
    <x v="1"/>
  </r>
  <r>
    <n v="13136"/>
    <x v="0"/>
    <x v="0"/>
    <n v="30000"/>
    <n v="2"/>
    <x v="1"/>
    <s v="Clerical"/>
    <s v="No"/>
    <n v="2"/>
    <x v="2"/>
    <x v="1"/>
    <x v="1"/>
    <x v="45"/>
    <x v="0"/>
  </r>
  <r>
    <n v="25906"/>
    <x v="1"/>
    <x v="0"/>
    <n v="10000"/>
    <n v="5"/>
    <x v="2"/>
    <s v="Skilled Manual"/>
    <s v="No"/>
    <n v="2"/>
    <x v="3"/>
    <x v="1"/>
    <x v="1"/>
    <x v="24"/>
    <x v="0"/>
  </r>
  <r>
    <n v="17926"/>
    <x v="1"/>
    <x v="0"/>
    <n v="40000"/>
    <n v="0"/>
    <x v="0"/>
    <s v="Clerical"/>
    <s v="No"/>
    <n v="0"/>
    <x v="0"/>
    <x v="1"/>
    <x v="2"/>
    <x v="26"/>
    <x v="1"/>
  </r>
  <r>
    <n v="26928"/>
    <x v="1"/>
    <x v="1"/>
    <n v="30000"/>
    <n v="1"/>
    <x v="0"/>
    <s v="Clerical"/>
    <s v="Yes"/>
    <n v="0"/>
    <x v="0"/>
    <x v="0"/>
    <x v="1"/>
    <x v="24"/>
    <x v="1"/>
  </r>
  <r>
    <n v="20897"/>
    <x v="0"/>
    <x v="0"/>
    <n v="30000"/>
    <n v="1"/>
    <x v="0"/>
    <s v="Skilled Manual"/>
    <s v="Yes"/>
    <n v="2"/>
    <x v="0"/>
    <x v="0"/>
    <x v="0"/>
    <x v="8"/>
    <x v="0"/>
  </r>
  <r>
    <n v="28207"/>
    <x v="0"/>
    <x v="1"/>
    <n v="80000"/>
    <n v="4"/>
    <x v="4"/>
    <s v="Management"/>
    <s v="Yes"/>
    <n v="1"/>
    <x v="0"/>
    <x v="1"/>
    <x v="0"/>
    <x v="4"/>
    <x v="1"/>
  </r>
  <r>
    <n v="25923"/>
    <x v="1"/>
    <x v="1"/>
    <n v="10000"/>
    <n v="2"/>
    <x v="3"/>
    <s v="Clerical"/>
    <s v="Yes"/>
    <n v="2"/>
    <x v="2"/>
    <x v="1"/>
    <x v="1"/>
    <x v="7"/>
    <x v="0"/>
  </r>
  <r>
    <n v="11000"/>
    <x v="0"/>
    <x v="1"/>
    <n v="90000"/>
    <n v="2"/>
    <x v="0"/>
    <s v="Professional"/>
    <s v="Yes"/>
    <n v="0"/>
    <x v="3"/>
    <x v="1"/>
    <x v="0"/>
    <x v="8"/>
    <x v="1"/>
  </r>
  <r>
    <n v="20974"/>
    <x v="0"/>
    <x v="1"/>
    <n v="10000"/>
    <n v="2"/>
    <x v="0"/>
    <s v="Clerical"/>
    <s v="Yes"/>
    <n v="1"/>
    <x v="0"/>
    <x v="0"/>
    <x v="1"/>
    <x v="29"/>
    <x v="0"/>
  </r>
  <r>
    <n v="28758"/>
    <x v="0"/>
    <x v="1"/>
    <n v="40000"/>
    <n v="2"/>
    <x v="1"/>
    <s v="Clerical"/>
    <s v="Yes"/>
    <n v="1"/>
    <x v="3"/>
    <x v="0"/>
    <x v="0"/>
    <x v="11"/>
    <x v="1"/>
  </r>
  <r>
    <n v="11381"/>
    <x v="0"/>
    <x v="0"/>
    <n v="20000"/>
    <n v="2"/>
    <x v="1"/>
    <s v="Manual"/>
    <s v="Yes"/>
    <n v="1"/>
    <x v="1"/>
    <x v="0"/>
    <x v="0"/>
    <x v="15"/>
    <x v="1"/>
  </r>
  <r>
    <n v="17522"/>
    <x v="0"/>
    <x v="1"/>
    <n v="120000"/>
    <n v="4"/>
    <x v="0"/>
    <s v="Management"/>
    <s v="Yes"/>
    <n v="1"/>
    <x v="1"/>
    <x v="1"/>
    <x v="0"/>
    <x v="15"/>
    <x v="0"/>
  </r>
  <r>
    <n v="21207"/>
    <x v="0"/>
    <x v="1"/>
    <n v="60000"/>
    <n v="1"/>
    <x v="1"/>
    <s v="Skilled Manual"/>
    <s v="Yes"/>
    <n v="1"/>
    <x v="2"/>
    <x v="1"/>
    <x v="0"/>
    <x v="30"/>
    <x v="0"/>
  </r>
  <r>
    <n v="28102"/>
    <x v="0"/>
    <x v="1"/>
    <n v="20000"/>
    <n v="4"/>
    <x v="2"/>
    <s v="Skilled Manual"/>
    <s v="Yes"/>
    <n v="2"/>
    <x v="2"/>
    <x v="1"/>
    <x v="1"/>
    <x v="7"/>
    <x v="1"/>
  </r>
  <r>
    <n v="23105"/>
    <x v="1"/>
    <x v="1"/>
    <n v="40000"/>
    <n v="3"/>
    <x v="3"/>
    <s v="Clerical"/>
    <s v="No"/>
    <n v="2"/>
    <x v="2"/>
    <x v="1"/>
    <x v="0"/>
    <x v="31"/>
    <x v="1"/>
  </r>
  <r>
    <n v="18740"/>
    <x v="0"/>
    <x v="1"/>
    <n v="80000"/>
    <n v="5"/>
    <x v="0"/>
    <s v="Professional"/>
    <s v="No"/>
    <n v="1"/>
    <x v="0"/>
    <x v="1"/>
    <x v="0"/>
    <x v="15"/>
    <x v="1"/>
  </r>
  <r>
    <n v="21213"/>
    <x v="1"/>
    <x v="1"/>
    <n v="70000"/>
    <n v="0"/>
    <x v="0"/>
    <s v="Professional"/>
    <s v="No"/>
    <n v="1"/>
    <x v="2"/>
    <x v="1"/>
    <x v="0"/>
    <x v="3"/>
    <x v="0"/>
  </r>
  <r>
    <n v="17352"/>
    <x v="0"/>
    <x v="1"/>
    <n v="50000"/>
    <n v="2"/>
    <x v="4"/>
    <s v="Management"/>
    <s v="Yes"/>
    <n v="1"/>
    <x v="2"/>
    <x v="1"/>
    <x v="1"/>
    <x v="46"/>
    <x v="1"/>
  </r>
  <r>
    <n v="14154"/>
    <x v="0"/>
    <x v="1"/>
    <n v="30000"/>
    <n v="0"/>
    <x v="0"/>
    <s v="Clerical"/>
    <s v="Yes"/>
    <n v="0"/>
    <x v="0"/>
    <x v="0"/>
    <x v="0"/>
    <x v="11"/>
    <x v="1"/>
  </r>
  <r>
    <n v="19066"/>
    <x v="0"/>
    <x v="1"/>
    <n v="130000"/>
    <n v="4"/>
    <x v="1"/>
    <s v="Professional"/>
    <s v="No"/>
    <n v="3"/>
    <x v="4"/>
    <x v="0"/>
    <x v="0"/>
    <x v="9"/>
    <x v="0"/>
  </r>
  <r>
    <n v="11386"/>
    <x v="0"/>
    <x v="0"/>
    <n v="30000"/>
    <n v="3"/>
    <x v="0"/>
    <s v="Clerical"/>
    <s v="Yes"/>
    <n v="0"/>
    <x v="0"/>
    <x v="0"/>
    <x v="0"/>
    <x v="12"/>
    <x v="0"/>
  </r>
  <r>
    <n v="20228"/>
    <x v="0"/>
    <x v="1"/>
    <n v="100000"/>
    <n v="0"/>
    <x v="4"/>
    <s v="Management"/>
    <s v="Yes"/>
    <n v="0"/>
    <x v="1"/>
    <x v="1"/>
    <x v="0"/>
    <x v="8"/>
    <x v="1"/>
  </r>
  <r>
    <n v="16675"/>
    <x v="1"/>
    <x v="0"/>
    <n v="160000"/>
    <n v="0"/>
    <x v="4"/>
    <s v="Management"/>
    <s v="No"/>
    <n v="3"/>
    <x v="0"/>
    <x v="1"/>
    <x v="0"/>
    <x v="15"/>
    <x v="1"/>
  </r>
  <r>
    <n v="16410"/>
    <x v="1"/>
    <x v="0"/>
    <n v="10000"/>
    <n v="4"/>
    <x v="3"/>
    <s v="Manual"/>
    <s v="Yes"/>
    <n v="2"/>
    <x v="0"/>
    <x v="0"/>
    <x v="0"/>
    <x v="3"/>
    <x v="1"/>
  </r>
  <r>
    <n v="27760"/>
    <x v="1"/>
    <x v="0"/>
    <n v="40000"/>
    <n v="0"/>
    <x v="4"/>
    <s v="Clerical"/>
    <s v="No"/>
    <n v="0"/>
    <x v="0"/>
    <x v="0"/>
    <x v="0"/>
    <x v="34"/>
    <x v="1"/>
  </r>
  <r>
    <n v="22930"/>
    <x v="0"/>
    <x v="1"/>
    <n v="90000"/>
    <n v="4"/>
    <x v="0"/>
    <s v="Professional"/>
    <s v="Yes"/>
    <n v="0"/>
    <x v="3"/>
    <x v="1"/>
    <x v="0"/>
    <x v="13"/>
    <x v="1"/>
  </r>
  <r>
    <n v="23780"/>
    <x v="1"/>
    <x v="1"/>
    <n v="40000"/>
    <n v="2"/>
    <x v="1"/>
    <s v="Clerical"/>
    <s v="No"/>
    <n v="2"/>
    <x v="0"/>
    <x v="0"/>
    <x v="0"/>
    <x v="4"/>
    <x v="1"/>
  </r>
  <r>
    <n v="20994"/>
    <x v="0"/>
    <x v="0"/>
    <n v="20000"/>
    <n v="0"/>
    <x v="0"/>
    <s v="Clerical"/>
    <s v="No"/>
    <n v="0"/>
    <x v="0"/>
    <x v="1"/>
    <x v="2"/>
    <x v="22"/>
    <x v="1"/>
  </r>
  <r>
    <n v="28379"/>
    <x v="0"/>
    <x v="1"/>
    <n v="30000"/>
    <n v="1"/>
    <x v="0"/>
    <s v="Skilled Manual"/>
    <s v="Yes"/>
    <n v="2"/>
    <x v="0"/>
    <x v="0"/>
    <x v="0"/>
    <x v="8"/>
    <x v="0"/>
  </r>
  <r>
    <n v="14865"/>
    <x v="1"/>
    <x v="1"/>
    <n v="40000"/>
    <n v="2"/>
    <x v="1"/>
    <s v="Clerical"/>
    <s v="Yes"/>
    <n v="2"/>
    <x v="3"/>
    <x v="0"/>
    <x v="0"/>
    <x v="4"/>
    <x v="0"/>
  </r>
  <r>
    <n v="12663"/>
    <x v="0"/>
    <x v="0"/>
    <n v="90000"/>
    <n v="5"/>
    <x v="3"/>
    <s v="Skilled Manual"/>
    <s v="Yes"/>
    <n v="2"/>
    <x v="4"/>
    <x v="0"/>
    <x v="1"/>
    <x v="14"/>
    <x v="0"/>
  </r>
  <r>
    <n v="24898"/>
    <x v="1"/>
    <x v="0"/>
    <n v="80000"/>
    <n v="0"/>
    <x v="0"/>
    <s v="Professional"/>
    <s v="Yes"/>
    <n v="3"/>
    <x v="4"/>
    <x v="1"/>
    <x v="0"/>
    <x v="21"/>
    <x v="0"/>
  </r>
  <r>
    <n v="19508"/>
    <x v="0"/>
    <x v="1"/>
    <n v="10000"/>
    <n v="0"/>
    <x v="3"/>
    <s v="Manual"/>
    <s v="No"/>
    <n v="2"/>
    <x v="0"/>
    <x v="0"/>
    <x v="2"/>
    <x v="25"/>
    <x v="0"/>
  </r>
  <r>
    <n v="11489"/>
    <x v="1"/>
    <x v="0"/>
    <n v="20000"/>
    <n v="0"/>
    <x v="3"/>
    <s v="Manual"/>
    <s v="No"/>
    <n v="2"/>
    <x v="3"/>
    <x v="0"/>
    <x v="0"/>
    <x v="11"/>
    <x v="1"/>
  </r>
  <r>
    <n v="18160"/>
    <x v="0"/>
    <x v="1"/>
    <n v="130000"/>
    <n v="3"/>
    <x v="2"/>
    <s v="Professional"/>
    <s v="Yes"/>
    <n v="4"/>
    <x v="2"/>
    <x v="0"/>
    <x v="0"/>
    <x v="36"/>
    <x v="1"/>
  </r>
  <r>
    <n v="25241"/>
    <x v="0"/>
    <x v="1"/>
    <n v="90000"/>
    <n v="2"/>
    <x v="0"/>
    <s v="Professional"/>
    <s v="Yes"/>
    <n v="1"/>
    <x v="2"/>
    <x v="1"/>
    <x v="0"/>
    <x v="15"/>
    <x v="0"/>
  </r>
  <r>
    <n v="24369"/>
    <x v="0"/>
    <x v="1"/>
    <n v="80000"/>
    <n v="5"/>
    <x v="4"/>
    <s v="Management"/>
    <s v="No"/>
    <n v="2"/>
    <x v="0"/>
    <x v="1"/>
    <x v="0"/>
    <x v="32"/>
    <x v="0"/>
  </r>
  <r>
    <n v="27165"/>
    <x v="1"/>
    <x v="1"/>
    <n v="20000"/>
    <n v="0"/>
    <x v="3"/>
    <s v="Manual"/>
    <s v="No"/>
    <n v="2"/>
    <x v="0"/>
    <x v="0"/>
    <x v="0"/>
    <x v="17"/>
    <x v="0"/>
  </r>
  <r>
    <n v="29424"/>
    <x v="0"/>
    <x v="1"/>
    <n v="10000"/>
    <n v="0"/>
    <x v="3"/>
    <s v="Manual"/>
    <s v="Yes"/>
    <n v="2"/>
    <x v="0"/>
    <x v="0"/>
    <x v="0"/>
    <x v="21"/>
    <x v="0"/>
  </r>
  <r>
    <n v="15926"/>
    <x v="1"/>
    <x v="0"/>
    <n v="120000"/>
    <n v="3"/>
    <x v="2"/>
    <s v="Professional"/>
    <s v="Yes"/>
    <n v="4"/>
    <x v="2"/>
    <x v="0"/>
    <x v="0"/>
    <x v="5"/>
    <x v="1"/>
  </r>
  <r>
    <n v="14554"/>
    <x v="0"/>
    <x v="1"/>
    <n v="20000"/>
    <n v="1"/>
    <x v="0"/>
    <s v="Clerical"/>
    <s v="Yes"/>
    <n v="0"/>
    <x v="0"/>
    <x v="0"/>
    <x v="1"/>
    <x v="29"/>
    <x v="0"/>
  </r>
  <r>
    <n v="16468"/>
    <x v="1"/>
    <x v="1"/>
    <n v="30000"/>
    <n v="0"/>
    <x v="1"/>
    <s v="Clerical"/>
    <s v="Yes"/>
    <n v="1"/>
    <x v="1"/>
    <x v="0"/>
    <x v="2"/>
    <x v="25"/>
    <x v="0"/>
  </r>
  <r>
    <n v="19174"/>
    <x v="1"/>
    <x v="0"/>
    <n v="30000"/>
    <n v="0"/>
    <x v="2"/>
    <s v="Manual"/>
    <s v="No"/>
    <n v="1"/>
    <x v="1"/>
    <x v="0"/>
    <x v="0"/>
    <x v="21"/>
    <x v="1"/>
  </r>
  <r>
    <n v="19183"/>
    <x v="1"/>
    <x v="1"/>
    <n v="10000"/>
    <n v="0"/>
    <x v="3"/>
    <s v="Manual"/>
    <s v="Yes"/>
    <n v="2"/>
    <x v="3"/>
    <x v="0"/>
    <x v="0"/>
    <x v="11"/>
    <x v="0"/>
  </r>
  <r>
    <n v="13683"/>
    <x v="1"/>
    <x v="0"/>
    <n v="30000"/>
    <n v="0"/>
    <x v="2"/>
    <s v="Manual"/>
    <s v="No"/>
    <n v="1"/>
    <x v="1"/>
    <x v="0"/>
    <x v="0"/>
    <x v="21"/>
    <x v="0"/>
  </r>
  <r>
    <n v="17848"/>
    <x v="1"/>
    <x v="1"/>
    <n v="30000"/>
    <n v="0"/>
    <x v="1"/>
    <s v="Clerical"/>
    <s v="No"/>
    <n v="1"/>
    <x v="1"/>
    <x v="0"/>
    <x v="0"/>
    <x v="23"/>
    <x v="1"/>
  </r>
  <r>
    <n v="17894"/>
    <x v="0"/>
    <x v="0"/>
    <n v="20000"/>
    <n v="1"/>
    <x v="0"/>
    <s v="Clerical"/>
    <s v="Yes"/>
    <n v="0"/>
    <x v="0"/>
    <x v="0"/>
    <x v="0"/>
    <x v="5"/>
    <x v="1"/>
  </r>
  <r>
    <n v="25651"/>
    <x v="0"/>
    <x v="1"/>
    <n v="40000"/>
    <n v="1"/>
    <x v="0"/>
    <s v="Skilled Manual"/>
    <s v="No"/>
    <n v="0"/>
    <x v="0"/>
    <x v="0"/>
    <x v="0"/>
    <x v="1"/>
    <x v="1"/>
  </r>
  <r>
    <n v="22936"/>
    <x v="1"/>
    <x v="0"/>
    <n v="60000"/>
    <n v="1"/>
    <x v="1"/>
    <s v="Skilled Manual"/>
    <s v="No"/>
    <n v="1"/>
    <x v="0"/>
    <x v="1"/>
    <x v="0"/>
    <x v="12"/>
    <x v="1"/>
  </r>
  <r>
    <n v="23915"/>
    <x v="0"/>
    <x v="1"/>
    <n v="20000"/>
    <n v="2"/>
    <x v="2"/>
    <s v="Manual"/>
    <s v="Yes"/>
    <n v="2"/>
    <x v="0"/>
    <x v="0"/>
    <x v="0"/>
    <x v="0"/>
    <x v="0"/>
  </r>
  <r>
    <n v="24121"/>
    <x v="1"/>
    <x v="0"/>
    <n v="30000"/>
    <n v="0"/>
    <x v="1"/>
    <s v="Clerical"/>
    <s v="No"/>
    <n v="1"/>
    <x v="0"/>
    <x v="0"/>
    <x v="2"/>
    <x v="19"/>
    <x v="1"/>
  </r>
  <r>
    <n v="27878"/>
    <x v="1"/>
    <x v="1"/>
    <n v="20000"/>
    <n v="0"/>
    <x v="1"/>
    <s v="Manual"/>
    <s v="No"/>
    <n v="0"/>
    <x v="0"/>
    <x v="1"/>
    <x v="2"/>
    <x v="26"/>
    <x v="1"/>
  </r>
  <r>
    <n v="13572"/>
    <x v="1"/>
    <x v="1"/>
    <n v="10000"/>
    <n v="3"/>
    <x v="2"/>
    <s v="Manual"/>
    <s v="Yes"/>
    <n v="0"/>
    <x v="0"/>
    <x v="0"/>
    <x v="0"/>
    <x v="34"/>
    <x v="1"/>
  </r>
  <r>
    <n v="27941"/>
    <x v="0"/>
    <x v="0"/>
    <n v="80000"/>
    <n v="4"/>
    <x v="1"/>
    <s v="Professional"/>
    <s v="Yes"/>
    <n v="2"/>
    <x v="1"/>
    <x v="0"/>
    <x v="0"/>
    <x v="39"/>
    <x v="0"/>
  </r>
  <r>
    <n v="26354"/>
    <x v="1"/>
    <x v="1"/>
    <n v="40000"/>
    <n v="0"/>
    <x v="4"/>
    <s v="Clerical"/>
    <s v="No"/>
    <n v="0"/>
    <x v="0"/>
    <x v="0"/>
    <x v="0"/>
    <x v="13"/>
    <x v="1"/>
  </r>
  <r>
    <n v="14785"/>
    <x v="1"/>
    <x v="1"/>
    <n v="30000"/>
    <n v="1"/>
    <x v="0"/>
    <s v="Clerical"/>
    <s v="No"/>
    <n v="1"/>
    <x v="3"/>
    <x v="0"/>
    <x v="0"/>
    <x v="32"/>
    <x v="0"/>
  </r>
  <r>
    <n v="17238"/>
    <x v="1"/>
    <x v="1"/>
    <n v="80000"/>
    <n v="0"/>
    <x v="0"/>
    <s v="Professional"/>
    <s v="Yes"/>
    <n v="3"/>
    <x v="4"/>
    <x v="1"/>
    <x v="0"/>
    <x v="21"/>
    <x v="0"/>
  </r>
  <r>
    <n v="23608"/>
    <x v="0"/>
    <x v="0"/>
    <n v="150000"/>
    <n v="3"/>
    <x v="2"/>
    <s v="Professional"/>
    <s v="Yes"/>
    <n v="3"/>
    <x v="0"/>
    <x v="0"/>
    <x v="0"/>
    <x v="36"/>
    <x v="1"/>
  </r>
  <r>
    <n v="22538"/>
    <x v="1"/>
    <x v="0"/>
    <n v="10000"/>
    <n v="0"/>
    <x v="3"/>
    <s v="Manual"/>
    <s v="Yes"/>
    <n v="2"/>
    <x v="3"/>
    <x v="0"/>
    <x v="0"/>
    <x v="6"/>
    <x v="0"/>
  </r>
  <r>
    <n v="12332"/>
    <x v="0"/>
    <x v="1"/>
    <n v="90000"/>
    <n v="4"/>
    <x v="2"/>
    <s v="Management"/>
    <s v="Yes"/>
    <n v="3"/>
    <x v="2"/>
    <x v="0"/>
    <x v="1"/>
    <x v="7"/>
    <x v="1"/>
  </r>
  <r>
    <n v="17230"/>
    <x v="0"/>
    <x v="1"/>
    <n v="80000"/>
    <n v="0"/>
    <x v="0"/>
    <s v="Professional"/>
    <s v="Yes"/>
    <n v="3"/>
    <x v="4"/>
    <x v="1"/>
    <x v="2"/>
    <x v="25"/>
    <x v="0"/>
  </r>
  <r>
    <n v="13082"/>
    <x v="1"/>
    <x v="1"/>
    <n v="130000"/>
    <n v="0"/>
    <x v="4"/>
    <s v="Management"/>
    <s v="Yes"/>
    <n v="0"/>
    <x v="1"/>
    <x v="1"/>
    <x v="0"/>
    <x v="28"/>
    <x v="1"/>
  </r>
  <r>
    <n v="22518"/>
    <x v="1"/>
    <x v="0"/>
    <n v="30000"/>
    <n v="3"/>
    <x v="1"/>
    <s v="Clerical"/>
    <s v="No"/>
    <n v="2"/>
    <x v="0"/>
    <x v="0"/>
    <x v="2"/>
    <x v="40"/>
    <x v="1"/>
  </r>
  <r>
    <n v="13687"/>
    <x v="0"/>
    <x v="1"/>
    <n v="40000"/>
    <n v="1"/>
    <x v="0"/>
    <s v="Skilled Manual"/>
    <s v="Yes"/>
    <n v="1"/>
    <x v="0"/>
    <x v="0"/>
    <x v="0"/>
    <x v="6"/>
    <x v="1"/>
  </r>
  <r>
    <n v="23571"/>
    <x v="0"/>
    <x v="0"/>
    <n v="40000"/>
    <n v="2"/>
    <x v="0"/>
    <s v="Management"/>
    <s v="Yes"/>
    <n v="2"/>
    <x v="0"/>
    <x v="1"/>
    <x v="1"/>
    <x v="29"/>
    <x v="1"/>
  </r>
  <r>
    <n v="19305"/>
    <x v="1"/>
    <x v="0"/>
    <n v="10000"/>
    <n v="2"/>
    <x v="2"/>
    <s v="Manual"/>
    <s v="Yes"/>
    <n v="1"/>
    <x v="0"/>
    <x v="0"/>
    <x v="0"/>
    <x v="13"/>
    <x v="1"/>
  </r>
  <r>
    <n v="22636"/>
    <x v="1"/>
    <x v="0"/>
    <n v="40000"/>
    <n v="0"/>
    <x v="0"/>
    <s v="Clerical"/>
    <s v="No"/>
    <n v="0"/>
    <x v="0"/>
    <x v="0"/>
    <x v="0"/>
    <x v="13"/>
    <x v="1"/>
  </r>
  <r>
    <n v="17310"/>
    <x v="0"/>
    <x v="1"/>
    <n v="60000"/>
    <n v="1"/>
    <x v="1"/>
    <s v="Skilled Manual"/>
    <s v="Yes"/>
    <n v="1"/>
    <x v="0"/>
    <x v="1"/>
    <x v="0"/>
    <x v="12"/>
    <x v="1"/>
  </r>
  <r>
    <n v="12133"/>
    <x v="0"/>
    <x v="0"/>
    <n v="130000"/>
    <n v="3"/>
    <x v="1"/>
    <s v="Professional"/>
    <s v="Yes"/>
    <n v="3"/>
    <x v="2"/>
    <x v="0"/>
    <x v="0"/>
    <x v="5"/>
    <x v="1"/>
  </r>
  <r>
    <n v="25918"/>
    <x v="1"/>
    <x v="0"/>
    <n v="30000"/>
    <n v="2"/>
    <x v="1"/>
    <s v="Clerical"/>
    <s v="No"/>
    <n v="2"/>
    <x v="2"/>
    <x v="1"/>
    <x v="1"/>
    <x v="2"/>
    <x v="1"/>
  </r>
  <r>
    <n v="25752"/>
    <x v="1"/>
    <x v="0"/>
    <n v="20000"/>
    <n v="2"/>
    <x v="1"/>
    <s v="Manual"/>
    <s v="No"/>
    <n v="1"/>
    <x v="0"/>
    <x v="0"/>
    <x v="0"/>
    <x v="39"/>
    <x v="1"/>
  </r>
  <r>
    <n v="17324"/>
    <x v="0"/>
    <x v="0"/>
    <n v="100000"/>
    <n v="4"/>
    <x v="0"/>
    <s v="Professional"/>
    <s v="Yes"/>
    <n v="1"/>
    <x v="4"/>
    <x v="1"/>
    <x v="0"/>
    <x v="30"/>
    <x v="0"/>
  </r>
  <r>
    <n v="22918"/>
    <x v="1"/>
    <x v="1"/>
    <n v="80000"/>
    <n v="5"/>
    <x v="4"/>
    <s v="Management"/>
    <s v="Yes"/>
    <n v="3"/>
    <x v="0"/>
    <x v="1"/>
    <x v="0"/>
    <x v="5"/>
    <x v="0"/>
  </r>
  <r>
    <n v="12510"/>
    <x v="0"/>
    <x v="1"/>
    <n v="40000"/>
    <n v="1"/>
    <x v="0"/>
    <s v="Skilled Manual"/>
    <s v="Yes"/>
    <n v="1"/>
    <x v="0"/>
    <x v="0"/>
    <x v="0"/>
    <x v="1"/>
    <x v="1"/>
  </r>
  <r>
    <n v="25512"/>
    <x v="1"/>
    <x v="1"/>
    <n v="20000"/>
    <n v="0"/>
    <x v="2"/>
    <s v="Manual"/>
    <s v="No"/>
    <n v="1"/>
    <x v="1"/>
    <x v="0"/>
    <x v="2"/>
    <x v="25"/>
    <x v="0"/>
  </r>
  <r>
    <n v="16179"/>
    <x v="1"/>
    <x v="0"/>
    <n v="80000"/>
    <n v="5"/>
    <x v="0"/>
    <s v="Professional"/>
    <s v="Yes"/>
    <n v="4"/>
    <x v="3"/>
    <x v="1"/>
    <x v="0"/>
    <x v="13"/>
    <x v="0"/>
  </r>
  <r>
    <n v="15628"/>
    <x v="0"/>
    <x v="0"/>
    <n v="40000"/>
    <n v="1"/>
    <x v="0"/>
    <s v="Skilled Manual"/>
    <s v="Yes"/>
    <n v="1"/>
    <x v="0"/>
    <x v="0"/>
    <x v="1"/>
    <x v="47"/>
    <x v="0"/>
  </r>
  <r>
    <n v="20977"/>
    <x v="0"/>
    <x v="1"/>
    <n v="20000"/>
    <n v="1"/>
    <x v="0"/>
    <s v="Clerical"/>
    <s v="Yes"/>
    <n v="0"/>
    <x v="0"/>
    <x v="0"/>
    <x v="1"/>
    <x v="46"/>
    <x v="1"/>
  </r>
  <r>
    <n v="18140"/>
    <x v="0"/>
    <x v="1"/>
    <n v="130000"/>
    <n v="3"/>
    <x v="1"/>
    <s v="Professional"/>
    <s v="No"/>
    <n v="3"/>
    <x v="2"/>
    <x v="0"/>
    <x v="0"/>
    <x v="36"/>
    <x v="1"/>
  </r>
  <r>
    <n v="20417"/>
    <x v="0"/>
    <x v="1"/>
    <n v="30000"/>
    <n v="3"/>
    <x v="1"/>
    <s v="Clerical"/>
    <s v="No"/>
    <n v="2"/>
    <x v="2"/>
    <x v="1"/>
    <x v="1"/>
    <x v="16"/>
    <x v="0"/>
  </r>
  <r>
    <n v="18267"/>
    <x v="0"/>
    <x v="1"/>
    <n v="60000"/>
    <n v="3"/>
    <x v="0"/>
    <s v="Professional"/>
    <s v="Yes"/>
    <n v="2"/>
    <x v="2"/>
    <x v="1"/>
    <x v="0"/>
    <x v="1"/>
    <x v="0"/>
  </r>
  <r>
    <n v="13620"/>
    <x v="1"/>
    <x v="1"/>
    <n v="70000"/>
    <n v="0"/>
    <x v="0"/>
    <s v="Professional"/>
    <s v="No"/>
    <n v="3"/>
    <x v="4"/>
    <x v="1"/>
    <x v="2"/>
    <x v="25"/>
    <x v="1"/>
  </r>
  <r>
    <n v="22974"/>
    <x v="0"/>
    <x v="0"/>
    <n v="30000"/>
    <n v="2"/>
    <x v="1"/>
    <s v="Clerical"/>
    <s v="Yes"/>
    <n v="2"/>
    <x v="2"/>
    <x v="1"/>
    <x v="1"/>
    <x v="45"/>
    <x v="0"/>
  </r>
  <r>
    <n v="13586"/>
    <x v="0"/>
    <x v="1"/>
    <n v="80000"/>
    <n v="4"/>
    <x v="1"/>
    <s v="Professional"/>
    <s v="Yes"/>
    <n v="2"/>
    <x v="4"/>
    <x v="0"/>
    <x v="0"/>
    <x v="39"/>
    <x v="0"/>
  </r>
  <r>
    <n v="17978"/>
    <x v="0"/>
    <x v="1"/>
    <n v="40000"/>
    <n v="0"/>
    <x v="4"/>
    <s v="Clerical"/>
    <s v="Yes"/>
    <n v="0"/>
    <x v="0"/>
    <x v="0"/>
    <x v="0"/>
    <x v="34"/>
    <x v="1"/>
  </r>
  <r>
    <n v="12581"/>
    <x v="1"/>
    <x v="0"/>
    <n v="10000"/>
    <n v="0"/>
    <x v="1"/>
    <s v="Manual"/>
    <s v="No"/>
    <n v="1"/>
    <x v="0"/>
    <x v="1"/>
    <x v="2"/>
    <x v="26"/>
    <x v="1"/>
  </r>
  <r>
    <n v="18018"/>
    <x v="1"/>
    <x v="1"/>
    <n v="30000"/>
    <n v="3"/>
    <x v="1"/>
    <s v="Clerical"/>
    <s v="Yes"/>
    <n v="0"/>
    <x v="0"/>
    <x v="0"/>
    <x v="0"/>
    <x v="1"/>
    <x v="0"/>
  </r>
  <r>
    <n v="28957"/>
    <x v="1"/>
    <x v="0"/>
    <n v="120000"/>
    <n v="0"/>
    <x v="3"/>
    <s v="Professional"/>
    <s v="Yes"/>
    <n v="4"/>
    <x v="4"/>
    <x v="1"/>
    <x v="0"/>
    <x v="17"/>
    <x v="1"/>
  </r>
  <r>
    <n v="13690"/>
    <x v="1"/>
    <x v="0"/>
    <n v="20000"/>
    <n v="0"/>
    <x v="3"/>
    <s v="Manual"/>
    <s v="No"/>
    <n v="2"/>
    <x v="3"/>
    <x v="0"/>
    <x v="0"/>
    <x v="17"/>
    <x v="1"/>
  </r>
  <r>
    <n v="12568"/>
    <x v="0"/>
    <x v="0"/>
    <n v="30000"/>
    <n v="1"/>
    <x v="0"/>
    <s v="Clerical"/>
    <s v="Yes"/>
    <n v="0"/>
    <x v="0"/>
    <x v="0"/>
    <x v="1"/>
    <x v="46"/>
    <x v="0"/>
  </r>
  <r>
    <n v="13122"/>
    <x v="0"/>
    <x v="0"/>
    <n v="80000"/>
    <n v="0"/>
    <x v="0"/>
    <s v="Professional"/>
    <s v="Yes"/>
    <n v="1"/>
    <x v="3"/>
    <x v="1"/>
    <x v="0"/>
    <x v="3"/>
    <x v="1"/>
  </r>
  <r>
    <n v="21184"/>
    <x v="1"/>
    <x v="1"/>
    <n v="70000"/>
    <n v="0"/>
    <x v="0"/>
    <s v="Professional"/>
    <s v="No"/>
    <n v="1"/>
    <x v="2"/>
    <x v="1"/>
    <x v="0"/>
    <x v="13"/>
    <x v="0"/>
  </r>
  <r>
    <n v="26150"/>
    <x v="1"/>
    <x v="0"/>
    <n v="70000"/>
    <n v="0"/>
    <x v="0"/>
    <s v="Professional"/>
    <s v="No"/>
    <n v="1"/>
    <x v="0"/>
    <x v="1"/>
    <x v="0"/>
    <x v="3"/>
    <x v="1"/>
  </r>
  <r>
    <n v="24151"/>
    <x v="1"/>
    <x v="1"/>
    <n v="20000"/>
    <n v="1"/>
    <x v="0"/>
    <s v="Clerical"/>
    <s v="No"/>
    <n v="0"/>
    <x v="0"/>
    <x v="0"/>
    <x v="0"/>
    <x v="36"/>
    <x v="0"/>
  </r>
  <r>
    <n v="23962"/>
    <x v="0"/>
    <x v="0"/>
    <n v="10000"/>
    <n v="0"/>
    <x v="3"/>
    <s v="Manual"/>
    <s v="Yes"/>
    <n v="2"/>
    <x v="3"/>
    <x v="0"/>
    <x v="0"/>
    <x v="21"/>
    <x v="0"/>
  </r>
  <r>
    <n v="17793"/>
    <x v="0"/>
    <x v="0"/>
    <n v="40000"/>
    <n v="0"/>
    <x v="0"/>
    <s v="Clerical"/>
    <s v="Yes"/>
    <n v="0"/>
    <x v="0"/>
    <x v="0"/>
    <x v="0"/>
    <x v="13"/>
    <x v="1"/>
  </r>
  <r>
    <n v="14926"/>
    <x v="0"/>
    <x v="1"/>
    <n v="30000"/>
    <n v="1"/>
    <x v="0"/>
    <s v="Clerical"/>
    <s v="Yes"/>
    <n v="0"/>
    <x v="0"/>
    <x v="0"/>
    <x v="0"/>
    <x v="13"/>
    <x v="1"/>
  </r>
  <r>
    <n v="16163"/>
    <x v="1"/>
    <x v="1"/>
    <n v="60000"/>
    <n v="2"/>
    <x v="0"/>
    <s v="Professional"/>
    <s v="Yes"/>
    <n v="1"/>
    <x v="1"/>
    <x v="1"/>
    <x v="0"/>
    <x v="13"/>
    <x v="1"/>
  </r>
  <r>
    <n v="21365"/>
    <x v="0"/>
    <x v="0"/>
    <n v="10000"/>
    <n v="2"/>
    <x v="3"/>
    <s v="Clerical"/>
    <s v="Yes"/>
    <n v="2"/>
    <x v="2"/>
    <x v="1"/>
    <x v="1"/>
    <x v="7"/>
    <x v="0"/>
  </r>
  <r>
    <n v="27771"/>
    <x v="1"/>
    <x v="1"/>
    <n v="30000"/>
    <n v="1"/>
    <x v="0"/>
    <s v="Clerical"/>
    <s v="Yes"/>
    <n v="1"/>
    <x v="3"/>
    <x v="0"/>
    <x v="0"/>
    <x v="32"/>
    <x v="1"/>
  </r>
  <r>
    <n v="26167"/>
    <x v="1"/>
    <x v="0"/>
    <n v="40000"/>
    <n v="2"/>
    <x v="0"/>
    <s v="Management"/>
    <s v="No"/>
    <n v="1"/>
    <x v="2"/>
    <x v="1"/>
    <x v="0"/>
    <x v="39"/>
    <x v="1"/>
  </r>
  <r>
    <n v="25792"/>
    <x v="1"/>
    <x v="0"/>
    <n v="110000"/>
    <n v="3"/>
    <x v="0"/>
    <s v="Management"/>
    <s v="Yes"/>
    <n v="4"/>
    <x v="4"/>
    <x v="0"/>
    <x v="0"/>
    <x v="39"/>
    <x v="0"/>
  </r>
  <r>
    <n v="11555"/>
    <x v="0"/>
    <x v="0"/>
    <n v="40000"/>
    <n v="1"/>
    <x v="0"/>
    <s v="Clerical"/>
    <s v="Yes"/>
    <n v="0"/>
    <x v="0"/>
    <x v="0"/>
    <x v="1"/>
    <x v="48"/>
    <x v="0"/>
  </r>
  <r>
    <n v="22381"/>
    <x v="0"/>
    <x v="1"/>
    <n v="10000"/>
    <n v="1"/>
    <x v="4"/>
    <s v="Manual"/>
    <s v="Yes"/>
    <n v="0"/>
    <x v="0"/>
    <x v="0"/>
    <x v="0"/>
    <x v="20"/>
    <x v="0"/>
  </r>
  <r>
    <n v="17882"/>
    <x v="0"/>
    <x v="1"/>
    <n v="20000"/>
    <n v="1"/>
    <x v="4"/>
    <s v="Clerical"/>
    <s v="Yes"/>
    <n v="0"/>
    <x v="0"/>
    <x v="0"/>
    <x v="0"/>
    <x v="20"/>
    <x v="0"/>
  </r>
  <r>
    <n v="22174"/>
    <x v="0"/>
    <x v="1"/>
    <n v="30000"/>
    <n v="3"/>
    <x v="2"/>
    <s v="Skilled Manual"/>
    <s v="Yes"/>
    <n v="2"/>
    <x v="2"/>
    <x v="1"/>
    <x v="0"/>
    <x v="9"/>
    <x v="1"/>
  </r>
  <r>
    <n v="22439"/>
    <x v="0"/>
    <x v="0"/>
    <n v="30000"/>
    <n v="0"/>
    <x v="0"/>
    <s v="Clerical"/>
    <s v="Yes"/>
    <n v="0"/>
    <x v="0"/>
    <x v="0"/>
    <x v="0"/>
    <x v="34"/>
    <x v="1"/>
  </r>
  <r>
    <n v="18012"/>
    <x v="0"/>
    <x v="0"/>
    <n v="40000"/>
    <n v="1"/>
    <x v="0"/>
    <s v="Skilled Manual"/>
    <s v="Yes"/>
    <n v="0"/>
    <x v="0"/>
    <x v="0"/>
    <x v="0"/>
    <x v="3"/>
    <x v="0"/>
  </r>
  <r>
    <n v="27582"/>
    <x v="1"/>
    <x v="0"/>
    <n v="90000"/>
    <n v="2"/>
    <x v="0"/>
    <s v="Professional"/>
    <s v="No"/>
    <n v="0"/>
    <x v="0"/>
    <x v="1"/>
    <x v="0"/>
    <x v="4"/>
    <x v="1"/>
  </r>
  <r>
    <n v="12744"/>
    <x v="1"/>
    <x v="0"/>
    <n v="40000"/>
    <n v="2"/>
    <x v="1"/>
    <s v="Clerical"/>
    <s v="Yes"/>
    <n v="0"/>
    <x v="0"/>
    <x v="0"/>
    <x v="0"/>
    <x v="6"/>
    <x v="0"/>
  </r>
  <r>
    <n v="22821"/>
    <x v="0"/>
    <x v="0"/>
    <n v="130000"/>
    <n v="3"/>
    <x v="1"/>
    <s v="Professional"/>
    <s v="Yes"/>
    <n v="4"/>
    <x v="0"/>
    <x v="0"/>
    <x v="0"/>
    <x v="31"/>
    <x v="0"/>
  </r>
  <r>
    <n v="20171"/>
    <x v="0"/>
    <x v="0"/>
    <n v="20000"/>
    <n v="2"/>
    <x v="1"/>
    <s v="Manual"/>
    <s v="Yes"/>
    <n v="1"/>
    <x v="0"/>
    <x v="0"/>
    <x v="0"/>
    <x v="30"/>
    <x v="1"/>
  </r>
  <r>
    <n v="11116"/>
    <x v="0"/>
    <x v="1"/>
    <n v="70000"/>
    <n v="5"/>
    <x v="1"/>
    <s v="Skilled Manual"/>
    <s v="Yes"/>
    <n v="2"/>
    <x v="2"/>
    <x v="1"/>
    <x v="0"/>
    <x v="1"/>
    <x v="0"/>
  </r>
  <r>
    <n v="20053"/>
    <x v="1"/>
    <x v="1"/>
    <n v="40000"/>
    <n v="2"/>
    <x v="1"/>
    <s v="Clerical"/>
    <s v="Yes"/>
    <n v="0"/>
    <x v="0"/>
    <x v="0"/>
    <x v="0"/>
    <x v="17"/>
    <x v="0"/>
  </r>
  <r>
    <n v="25266"/>
    <x v="1"/>
    <x v="0"/>
    <n v="30000"/>
    <n v="2"/>
    <x v="1"/>
    <s v="Clerical"/>
    <s v="No"/>
    <n v="2"/>
    <x v="2"/>
    <x v="1"/>
    <x v="1"/>
    <x v="41"/>
    <x v="0"/>
  </r>
  <r>
    <n v="17960"/>
    <x v="0"/>
    <x v="0"/>
    <n v="40000"/>
    <n v="0"/>
    <x v="4"/>
    <s v="Clerical"/>
    <s v="Yes"/>
    <n v="0"/>
    <x v="0"/>
    <x v="0"/>
    <x v="0"/>
    <x v="11"/>
    <x v="1"/>
  </r>
  <r>
    <n v="13961"/>
    <x v="0"/>
    <x v="0"/>
    <n v="80000"/>
    <n v="5"/>
    <x v="4"/>
    <s v="Management"/>
    <s v="Yes"/>
    <n v="3"/>
    <x v="0"/>
    <x v="1"/>
    <x v="0"/>
    <x v="8"/>
    <x v="0"/>
  </r>
  <r>
    <n v="11897"/>
    <x v="1"/>
    <x v="1"/>
    <n v="60000"/>
    <n v="2"/>
    <x v="0"/>
    <s v="Professional"/>
    <s v="No"/>
    <n v="1"/>
    <x v="0"/>
    <x v="1"/>
    <x v="0"/>
    <x v="34"/>
    <x v="1"/>
  </r>
  <r>
    <n v="11139"/>
    <x v="1"/>
    <x v="0"/>
    <n v="30000"/>
    <n v="2"/>
    <x v="1"/>
    <s v="Clerical"/>
    <s v="No"/>
    <n v="2"/>
    <x v="2"/>
    <x v="1"/>
    <x v="1"/>
    <x v="41"/>
    <x v="0"/>
  </r>
  <r>
    <n v="11576"/>
    <x v="0"/>
    <x v="1"/>
    <n v="30000"/>
    <n v="1"/>
    <x v="0"/>
    <s v="Skilled Manual"/>
    <s v="Yes"/>
    <n v="2"/>
    <x v="0"/>
    <x v="0"/>
    <x v="0"/>
    <x v="3"/>
    <x v="1"/>
  </r>
  <r>
    <n v="19255"/>
    <x v="1"/>
    <x v="1"/>
    <n v="10000"/>
    <n v="2"/>
    <x v="1"/>
    <s v="Manual"/>
    <s v="Yes"/>
    <n v="1"/>
    <x v="0"/>
    <x v="0"/>
    <x v="0"/>
    <x v="36"/>
    <x v="1"/>
  </r>
  <r>
    <n v="18153"/>
    <x v="0"/>
    <x v="0"/>
    <n v="100000"/>
    <n v="2"/>
    <x v="0"/>
    <s v="Management"/>
    <s v="Yes"/>
    <n v="4"/>
    <x v="4"/>
    <x v="0"/>
    <x v="1"/>
    <x v="14"/>
    <x v="0"/>
  </r>
  <r>
    <n v="14547"/>
    <x v="0"/>
    <x v="1"/>
    <n v="10000"/>
    <n v="2"/>
    <x v="1"/>
    <s v="Manual"/>
    <s v="Yes"/>
    <n v="0"/>
    <x v="3"/>
    <x v="0"/>
    <x v="0"/>
    <x v="36"/>
    <x v="0"/>
  </r>
  <r>
    <n v="24901"/>
    <x v="1"/>
    <x v="1"/>
    <n v="110000"/>
    <n v="0"/>
    <x v="1"/>
    <s v="Management"/>
    <s v="No"/>
    <n v="3"/>
    <x v="4"/>
    <x v="1"/>
    <x v="0"/>
    <x v="21"/>
    <x v="1"/>
  </r>
  <r>
    <n v="27169"/>
    <x v="1"/>
    <x v="1"/>
    <n v="30000"/>
    <n v="0"/>
    <x v="2"/>
    <s v="Manual"/>
    <s v="Yes"/>
    <n v="1"/>
    <x v="1"/>
    <x v="0"/>
    <x v="0"/>
    <x v="17"/>
    <x v="1"/>
  </r>
  <r>
    <n v="14805"/>
    <x v="1"/>
    <x v="0"/>
    <n v="10000"/>
    <n v="3"/>
    <x v="3"/>
    <s v="Manual"/>
    <s v="Yes"/>
    <n v="2"/>
    <x v="0"/>
    <x v="0"/>
    <x v="0"/>
    <x v="1"/>
    <x v="0"/>
  </r>
  <r>
    <n v="15822"/>
    <x v="0"/>
    <x v="1"/>
    <n v="40000"/>
    <n v="2"/>
    <x v="0"/>
    <s v="Management"/>
    <s v="Yes"/>
    <n v="2"/>
    <x v="0"/>
    <x v="1"/>
    <x v="1"/>
    <x v="41"/>
    <x v="0"/>
  </r>
  <r>
    <n v="19389"/>
    <x v="1"/>
    <x v="1"/>
    <n v="30000"/>
    <n v="0"/>
    <x v="1"/>
    <s v="Clerical"/>
    <s v="No"/>
    <n v="1"/>
    <x v="1"/>
    <x v="0"/>
    <x v="2"/>
    <x v="26"/>
    <x v="0"/>
  </r>
  <r>
    <n v="17048"/>
    <x v="1"/>
    <x v="0"/>
    <n v="90000"/>
    <n v="1"/>
    <x v="4"/>
    <s v="Management"/>
    <s v="Yes"/>
    <n v="0"/>
    <x v="0"/>
    <x v="1"/>
    <x v="0"/>
    <x v="4"/>
    <x v="1"/>
  </r>
  <r>
    <n v="22204"/>
    <x v="0"/>
    <x v="1"/>
    <n v="110000"/>
    <n v="4"/>
    <x v="0"/>
    <s v="Management"/>
    <s v="Yes"/>
    <n v="3"/>
    <x v="1"/>
    <x v="1"/>
    <x v="0"/>
    <x v="28"/>
    <x v="0"/>
  </r>
  <r>
    <n v="12718"/>
    <x v="1"/>
    <x v="0"/>
    <n v="30000"/>
    <n v="0"/>
    <x v="1"/>
    <s v="Clerical"/>
    <s v="Yes"/>
    <n v="1"/>
    <x v="1"/>
    <x v="0"/>
    <x v="0"/>
    <x v="23"/>
    <x v="0"/>
  </r>
  <r>
    <n v="15019"/>
    <x v="1"/>
    <x v="0"/>
    <n v="30000"/>
    <n v="3"/>
    <x v="2"/>
    <s v="Skilled Manual"/>
    <s v="Yes"/>
    <n v="2"/>
    <x v="2"/>
    <x v="1"/>
    <x v="1"/>
    <x v="10"/>
    <x v="0"/>
  </r>
  <r>
    <n v="28488"/>
    <x v="1"/>
    <x v="1"/>
    <n v="20000"/>
    <n v="0"/>
    <x v="1"/>
    <s v="Manual"/>
    <s v="Yes"/>
    <n v="0"/>
    <x v="0"/>
    <x v="1"/>
    <x v="2"/>
    <x v="26"/>
    <x v="1"/>
  </r>
  <r>
    <n v="21891"/>
    <x v="0"/>
    <x v="0"/>
    <n v="110000"/>
    <n v="0"/>
    <x v="2"/>
    <s v="Management"/>
    <s v="Yes"/>
    <n v="3"/>
    <x v="4"/>
    <x v="1"/>
    <x v="0"/>
    <x v="17"/>
    <x v="1"/>
  </r>
  <r>
    <n v="27814"/>
    <x v="1"/>
    <x v="0"/>
    <n v="30000"/>
    <n v="3"/>
    <x v="1"/>
    <s v="Clerical"/>
    <s v="No"/>
    <n v="1"/>
    <x v="0"/>
    <x v="0"/>
    <x v="2"/>
    <x v="22"/>
    <x v="0"/>
  </r>
  <r>
    <n v="22175"/>
    <x v="0"/>
    <x v="0"/>
    <n v="30000"/>
    <n v="3"/>
    <x v="2"/>
    <s v="Skilled Manual"/>
    <s v="Yes"/>
    <n v="2"/>
    <x v="2"/>
    <x v="1"/>
    <x v="0"/>
    <x v="39"/>
    <x v="1"/>
  </r>
  <r>
    <n v="29447"/>
    <x v="1"/>
    <x v="0"/>
    <n v="10000"/>
    <n v="2"/>
    <x v="0"/>
    <s v="Clerical"/>
    <s v="No"/>
    <n v="1"/>
    <x v="1"/>
    <x v="0"/>
    <x v="1"/>
    <x v="35"/>
    <x v="0"/>
  </r>
  <r>
    <n v="19784"/>
    <x v="0"/>
    <x v="0"/>
    <n v="80000"/>
    <n v="2"/>
    <x v="2"/>
    <s v="Skilled Manual"/>
    <s v="Yes"/>
    <n v="2"/>
    <x v="2"/>
    <x v="1"/>
    <x v="0"/>
    <x v="5"/>
    <x v="1"/>
  </r>
  <r>
    <n v="27824"/>
    <x v="1"/>
    <x v="0"/>
    <n v="30000"/>
    <n v="3"/>
    <x v="1"/>
    <s v="Clerical"/>
    <s v="Yes"/>
    <n v="2"/>
    <x v="0"/>
    <x v="0"/>
    <x v="2"/>
    <x v="26"/>
    <x v="1"/>
  </r>
  <r>
    <n v="24093"/>
    <x v="1"/>
    <x v="0"/>
    <n v="80000"/>
    <n v="0"/>
    <x v="4"/>
    <s v="Skilled Manual"/>
    <s v="No"/>
    <n v="0"/>
    <x v="0"/>
    <x v="0"/>
    <x v="0"/>
    <x v="8"/>
    <x v="1"/>
  </r>
  <r>
    <n v="19618"/>
    <x v="0"/>
    <x v="1"/>
    <n v="70000"/>
    <n v="5"/>
    <x v="1"/>
    <s v="Skilled Manual"/>
    <s v="Yes"/>
    <n v="2"/>
    <x v="0"/>
    <x v="1"/>
    <x v="0"/>
    <x v="20"/>
    <x v="0"/>
  </r>
  <r>
    <n v="21561"/>
    <x v="1"/>
    <x v="1"/>
    <n v="90000"/>
    <n v="0"/>
    <x v="0"/>
    <s v="Professional"/>
    <s v="No"/>
    <n v="3"/>
    <x v="4"/>
    <x v="1"/>
    <x v="0"/>
    <x v="17"/>
    <x v="1"/>
  </r>
  <r>
    <n v="11061"/>
    <x v="0"/>
    <x v="1"/>
    <n v="70000"/>
    <n v="2"/>
    <x v="1"/>
    <s v="Skilled Manual"/>
    <s v="Yes"/>
    <n v="2"/>
    <x v="2"/>
    <x v="1"/>
    <x v="0"/>
    <x v="31"/>
    <x v="1"/>
  </r>
  <r>
    <n v="26651"/>
    <x v="1"/>
    <x v="1"/>
    <n v="80000"/>
    <n v="4"/>
    <x v="4"/>
    <s v="Management"/>
    <s v="Yes"/>
    <n v="0"/>
    <x v="0"/>
    <x v="1"/>
    <x v="0"/>
    <x v="4"/>
    <x v="1"/>
  </r>
  <r>
    <n v="21108"/>
    <x v="0"/>
    <x v="0"/>
    <n v="40000"/>
    <n v="1"/>
    <x v="0"/>
    <s v="Skilled Manual"/>
    <s v="Yes"/>
    <n v="1"/>
    <x v="0"/>
    <x v="0"/>
    <x v="0"/>
    <x v="1"/>
    <x v="1"/>
  </r>
  <r>
    <n v="12731"/>
    <x v="1"/>
    <x v="1"/>
    <n v="30000"/>
    <n v="0"/>
    <x v="2"/>
    <s v="Manual"/>
    <s v="No"/>
    <n v="1"/>
    <x v="3"/>
    <x v="0"/>
    <x v="0"/>
    <x v="21"/>
    <x v="0"/>
  </r>
  <r>
    <n v="25307"/>
    <x v="0"/>
    <x v="0"/>
    <n v="40000"/>
    <n v="1"/>
    <x v="0"/>
    <s v="Skilled Manual"/>
    <s v="Yes"/>
    <n v="1"/>
    <x v="3"/>
    <x v="0"/>
    <x v="0"/>
    <x v="21"/>
    <x v="1"/>
  </r>
  <r>
    <n v="14278"/>
    <x v="0"/>
    <x v="0"/>
    <n v="130000"/>
    <n v="0"/>
    <x v="4"/>
    <s v="Management"/>
    <s v="Yes"/>
    <n v="1"/>
    <x v="4"/>
    <x v="1"/>
    <x v="0"/>
    <x v="28"/>
    <x v="0"/>
  </r>
  <r>
    <n v="20711"/>
    <x v="0"/>
    <x v="0"/>
    <n v="40000"/>
    <n v="1"/>
    <x v="0"/>
    <s v="Skilled Manual"/>
    <s v="Yes"/>
    <n v="0"/>
    <x v="3"/>
    <x v="0"/>
    <x v="0"/>
    <x v="21"/>
    <x v="1"/>
  </r>
  <r>
    <n v="11383"/>
    <x v="0"/>
    <x v="0"/>
    <n v="30000"/>
    <n v="3"/>
    <x v="4"/>
    <s v="Clerical"/>
    <s v="Yes"/>
    <n v="0"/>
    <x v="0"/>
    <x v="0"/>
    <x v="0"/>
    <x v="30"/>
    <x v="0"/>
  </r>
  <r>
    <n v="12497"/>
    <x v="0"/>
    <x v="0"/>
    <n v="40000"/>
    <n v="1"/>
    <x v="0"/>
    <s v="Skilled Manual"/>
    <s v="Yes"/>
    <n v="0"/>
    <x v="0"/>
    <x v="0"/>
    <x v="0"/>
    <x v="0"/>
    <x v="0"/>
  </r>
  <r>
    <n v="16559"/>
    <x v="1"/>
    <x v="0"/>
    <n v="10000"/>
    <n v="2"/>
    <x v="2"/>
    <s v="Manual"/>
    <s v="Yes"/>
    <n v="0"/>
    <x v="0"/>
    <x v="0"/>
    <x v="0"/>
    <x v="4"/>
    <x v="1"/>
  </r>
  <r>
    <n v="11585"/>
    <x v="0"/>
    <x v="0"/>
    <n v="40000"/>
    <n v="1"/>
    <x v="0"/>
    <s v="Skilled Manual"/>
    <s v="Yes"/>
    <n v="0"/>
    <x v="0"/>
    <x v="0"/>
    <x v="0"/>
    <x v="3"/>
    <x v="0"/>
  </r>
  <r>
    <n v="20277"/>
    <x v="0"/>
    <x v="0"/>
    <n v="30000"/>
    <n v="2"/>
    <x v="1"/>
    <s v="Clerical"/>
    <s v="No"/>
    <n v="2"/>
    <x v="0"/>
    <x v="1"/>
    <x v="1"/>
    <x v="45"/>
    <x v="0"/>
  </r>
  <r>
    <n v="26765"/>
    <x v="1"/>
    <x v="0"/>
    <n v="70000"/>
    <n v="5"/>
    <x v="1"/>
    <s v="Skilled Manual"/>
    <s v="Yes"/>
    <n v="2"/>
    <x v="2"/>
    <x v="1"/>
    <x v="0"/>
    <x v="12"/>
    <x v="0"/>
  </r>
  <r>
    <n v="12389"/>
    <x v="1"/>
    <x v="1"/>
    <n v="30000"/>
    <n v="0"/>
    <x v="2"/>
    <s v="Manual"/>
    <s v="No"/>
    <n v="1"/>
    <x v="1"/>
    <x v="0"/>
    <x v="0"/>
    <x v="17"/>
    <x v="0"/>
  </r>
  <r>
    <n v="13585"/>
    <x v="0"/>
    <x v="0"/>
    <n v="80000"/>
    <n v="4"/>
    <x v="1"/>
    <s v="Professional"/>
    <s v="No"/>
    <n v="1"/>
    <x v="1"/>
    <x v="0"/>
    <x v="0"/>
    <x v="39"/>
    <x v="1"/>
  </r>
  <r>
    <n v="26385"/>
    <x v="1"/>
    <x v="1"/>
    <n v="120000"/>
    <n v="3"/>
    <x v="2"/>
    <s v="Professional"/>
    <s v="No"/>
    <n v="4"/>
    <x v="2"/>
    <x v="0"/>
    <x v="0"/>
    <x v="5"/>
    <x v="0"/>
  </r>
  <r>
    <n v="12236"/>
    <x v="0"/>
    <x v="0"/>
    <n v="20000"/>
    <n v="1"/>
    <x v="1"/>
    <s v="Manual"/>
    <s v="Yes"/>
    <n v="0"/>
    <x v="0"/>
    <x v="0"/>
    <x v="1"/>
    <x v="27"/>
    <x v="0"/>
  </r>
  <r>
    <n v="21560"/>
    <x v="0"/>
    <x v="1"/>
    <n v="120000"/>
    <n v="0"/>
    <x v="3"/>
    <s v="Professional"/>
    <s v="Yes"/>
    <n v="4"/>
    <x v="4"/>
    <x v="1"/>
    <x v="0"/>
    <x v="21"/>
    <x v="1"/>
  </r>
  <r>
    <n v="21554"/>
    <x v="1"/>
    <x v="0"/>
    <n v="80000"/>
    <n v="0"/>
    <x v="0"/>
    <s v="Professional"/>
    <s v="No"/>
    <n v="3"/>
    <x v="4"/>
    <x v="1"/>
    <x v="0"/>
    <x v="6"/>
    <x v="0"/>
  </r>
  <r>
    <n v="13662"/>
    <x v="1"/>
    <x v="1"/>
    <n v="20000"/>
    <n v="0"/>
    <x v="3"/>
    <s v="Manual"/>
    <s v="Yes"/>
    <n v="2"/>
    <x v="3"/>
    <x v="0"/>
    <x v="0"/>
    <x v="23"/>
    <x v="1"/>
  </r>
  <r>
    <n v="13089"/>
    <x v="0"/>
    <x v="0"/>
    <n v="120000"/>
    <n v="1"/>
    <x v="0"/>
    <s v="Management"/>
    <s v="Yes"/>
    <n v="2"/>
    <x v="0"/>
    <x v="1"/>
    <x v="0"/>
    <x v="30"/>
    <x v="1"/>
  </r>
  <r>
    <n v="14791"/>
    <x v="0"/>
    <x v="0"/>
    <n v="40000"/>
    <n v="0"/>
    <x v="0"/>
    <s v="Clerical"/>
    <s v="Yes"/>
    <n v="0"/>
    <x v="0"/>
    <x v="0"/>
    <x v="0"/>
    <x v="32"/>
    <x v="1"/>
  </r>
  <r>
    <n v="19331"/>
    <x v="1"/>
    <x v="1"/>
    <n v="20000"/>
    <n v="2"/>
    <x v="2"/>
    <s v="Manual"/>
    <s v="Yes"/>
    <n v="1"/>
    <x v="0"/>
    <x v="0"/>
    <x v="0"/>
    <x v="8"/>
    <x v="0"/>
  </r>
  <r>
    <n v="17754"/>
    <x v="1"/>
    <x v="0"/>
    <n v="30000"/>
    <n v="3"/>
    <x v="0"/>
    <s v="Clerical"/>
    <s v="Yes"/>
    <n v="0"/>
    <x v="0"/>
    <x v="0"/>
    <x v="0"/>
    <x v="30"/>
    <x v="1"/>
  </r>
  <r>
    <n v="11149"/>
    <x v="0"/>
    <x v="1"/>
    <n v="40000"/>
    <n v="2"/>
    <x v="0"/>
    <s v="Management"/>
    <s v="Yes"/>
    <n v="2"/>
    <x v="0"/>
    <x v="1"/>
    <x v="1"/>
    <x v="27"/>
    <x v="0"/>
  </r>
  <r>
    <n v="16549"/>
    <x v="1"/>
    <x v="0"/>
    <n v="30000"/>
    <n v="3"/>
    <x v="0"/>
    <s v="Clerical"/>
    <s v="Yes"/>
    <n v="0"/>
    <x v="0"/>
    <x v="0"/>
    <x v="0"/>
    <x v="15"/>
    <x v="1"/>
  </r>
  <r>
    <n v="24305"/>
    <x v="1"/>
    <x v="1"/>
    <n v="100000"/>
    <n v="1"/>
    <x v="0"/>
    <s v="Management"/>
    <s v="No"/>
    <n v="3"/>
    <x v="0"/>
    <x v="1"/>
    <x v="0"/>
    <x v="30"/>
    <x v="1"/>
  </r>
  <r>
    <n v="18253"/>
    <x v="0"/>
    <x v="0"/>
    <n v="80000"/>
    <n v="5"/>
    <x v="4"/>
    <s v="Management"/>
    <s v="Yes"/>
    <n v="3"/>
    <x v="0"/>
    <x v="1"/>
    <x v="0"/>
    <x v="8"/>
    <x v="0"/>
  </r>
  <r>
    <n v="20147"/>
    <x v="0"/>
    <x v="0"/>
    <n v="30000"/>
    <n v="1"/>
    <x v="0"/>
    <s v="Clerical"/>
    <s v="Yes"/>
    <n v="0"/>
    <x v="0"/>
    <x v="0"/>
    <x v="1"/>
    <x v="27"/>
    <x v="0"/>
  </r>
  <r>
    <n v="15612"/>
    <x v="1"/>
    <x v="1"/>
    <n v="30000"/>
    <n v="0"/>
    <x v="2"/>
    <s v="Manual"/>
    <s v="No"/>
    <n v="1"/>
    <x v="3"/>
    <x v="0"/>
    <x v="2"/>
    <x v="26"/>
    <x v="0"/>
  </r>
  <r>
    <n v="28323"/>
    <x v="1"/>
    <x v="1"/>
    <n v="70000"/>
    <n v="0"/>
    <x v="0"/>
    <s v="Professional"/>
    <s v="No"/>
    <n v="2"/>
    <x v="2"/>
    <x v="1"/>
    <x v="0"/>
    <x v="1"/>
    <x v="1"/>
  </r>
  <r>
    <n v="22634"/>
    <x v="1"/>
    <x v="0"/>
    <n v="40000"/>
    <n v="0"/>
    <x v="4"/>
    <s v="Clerical"/>
    <s v="Yes"/>
    <n v="0"/>
    <x v="0"/>
    <x v="0"/>
    <x v="0"/>
    <x v="13"/>
    <x v="1"/>
  </r>
  <r>
    <n v="15665"/>
    <x v="0"/>
    <x v="0"/>
    <n v="30000"/>
    <n v="0"/>
    <x v="0"/>
    <s v="Clerical"/>
    <s v="Yes"/>
    <n v="0"/>
    <x v="0"/>
    <x v="0"/>
    <x v="0"/>
    <x v="15"/>
    <x v="1"/>
  </r>
  <r>
    <n v="27585"/>
    <x v="0"/>
    <x v="0"/>
    <n v="90000"/>
    <n v="2"/>
    <x v="0"/>
    <s v="Professional"/>
    <s v="No"/>
    <n v="0"/>
    <x v="0"/>
    <x v="1"/>
    <x v="0"/>
    <x v="4"/>
    <x v="1"/>
  </r>
  <r>
    <n v="19748"/>
    <x v="0"/>
    <x v="1"/>
    <n v="20000"/>
    <n v="4"/>
    <x v="2"/>
    <s v="Skilled Manual"/>
    <s v="No"/>
    <n v="2"/>
    <x v="3"/>
    <x v="1"/>
    <x v="1"/>
    <x v="2"/>
    <x v="0"/>
  </r>
  <r>
    <n v="21974"/>
    <x v="1"/>
    <x v="0"/>
    <n v="70000"/>
    <n v="0"/>
    <x v="0"/>
    <s v="Professional"/>
    <s v="Yes"/>
    <n v="1"/>
    <x v="2"/>
    <x v="1"/>
    <x v="0"/>
    <x v="0"/>
    <x v="1"/>
  </r>
  <r>
    <n v="14032"/>
    <x v="0"/>
    <x v="1"/>
    <n v="70000"/>
    <n v="2"/>
    <x v="2"/>
    <s v="Skilled Manual"/>
    <s v="No"/>
    <n v="2"/>
    <x v="3"/>
    <x v="1"/>
    <x v="0"/>
    <x v="5"/>
    <x v="1"/>
  </r>
  <r>
    <n v="22610"/>
    <x v="0"/>
    <x v="1"/>
    <n v="30000"/>
    <n v="0"/>
    <x v="0"/>
    <s v="Clerical"/>
    <s v="Yes"/>
    <n v="0"/>
    <x v="0"/>
    <x v="0"/>
    <x v="0"/>
    <x v="11"/>
    <x v="1"/>
  </r>
  <r>
    <n v="26984"/>
    <x v="0"/>
    <x v="1"/>
    <n v="40000"/>
    <n v="1"/>
    <x v="0"/>
    <s v="Skilled Manual"/>
    <s v="Yes"/>
    <n v="1"/>
    <x v="0"/>
    <x v="0"/>
    <x v="0"/>
    <x v="21"/>
    <x v="1"/>
  </r>
  <r>
    <n v="18294"/>
    <x v="0"/>
    <x v="0"/>
    <n v="90000"/>
    <n v="1"/>
    <x v="0"/>
    <s v="Professional"/>
    <s v="Yes"/>
    <n v="1"/>
    <x v="2"/>
    <x v="1"/>
    <x v="0"/>
    <x v="30"/>
    <x v="0"/>
  </r>
  <r>
    <n v="28564"/>
    <x v="1"/>
    <x v="0"/>
    <n v="40000"/>
    <n v="2"/>
    <x v="1"/>
    <s v="Clerical"/>
    <s v="Yes"/>
    <n v="0"/>
    <x v="3"/>
    <x v="0"/>
    <x v="0"/>
    <x v="6"/>
    <x v="1"/>
  </r>
  <r>
    <n v="28521"/>
    <x v="1"/>
    <x v="1"/>
    <n v="40000"/>
    <n v="0"/>
    <x v="4"/>
    <s v="Clerical"/>
    <s v="No"/>
    <n v="0"/>
    <x v="0"/>
    <x v="0"/>
    <x v="0"/>
    <x v="4"/>
    <x v="1"/>
  </r>
  <r>
    <n v="15450"/>
    <x v="0"/>
    <x v="1"/>
    <n v="10000"/>
    <n v="1"/>
    <x v="4"/>
    <s v="Clerical"/>
    <s v="Yes"/>
    <n v="0"/>
    <x v="0"/>
    <x v="0"/>
    <x v="1"/>
    <x v="43"/>
    <x v="0"/>
  </r>
  <r>
    <n v="25681"/>
    <x v="1"/>
    <x v="0"/>
    <n v="30000"/>
    <n v="0"/>
    <x v="1"/>
    <s v="Clerical"/>
    <s v="No"/>
    <n v="1"/>
    <x v="1"/>
    <x v="0"/>
    <x v="0"/>
    <x v="23"/>
    <x v="1"/>
  </r>
  <r>
    <n v="19491"/>
    <x v="1"/>
    <x v="1"/>
    <n v="30000"/>
    <n v="2"/>
    <x v="1"/>
    <s v="Clerical"/>
    <s v="Yes"/>
    <n v="2"/>
    <x v="0"/>
    <x v="0"/>
    <x v="0"/>
    <x v="0"/>
    <x v="0"/>
  </r>
  <r>
    <n v="26415"/>
    <x v="0"/>
    <x v="0"/>
    <n v="90000"/>
    <n v="4"/>
    <x v="3"/>
    <s v="Skilled Manual"/>
    <s v="Yes"/>
    <n v="4"/>
    <x v="4"/>
    <x v="0"/>
    <x v="1"/>
    <x v="7"/>
    <x v="0"/>
  </r>
  <r>
    <n v="12821"/>
    <x v="0"/>
    <x v="1"/>
    <n v="40000"/>
    <n v="0"/>
    <x v="0"/>
    <s v="Clerical"/>
    <s v="Yes"/>
    <n v="0"/>
    <x v="0"/>
    <x v="0"/>
    <x v="0"/>
    <x v="32"/>
    <x v="0"/>
  </r>
  <r>
    <n v="15629"/>
    <x v="1"/>
    <x v="0"/>
    <n v="10000"/>
    <n v="0"/>
    <x v="3"/>
    <s v="Manual"/>
    <s v="Yes"/>
    <n v="2"/>
    <x v="3"/>
    <x v="0"/>
    <x v="0"/>
    <x v="17"/>
    <x v="0"/>
  </r>
  <r>
    <n v="27835"/>
    <x v="0"/>
    <x v="1"/>
    <n v="20000"/>
    <n v="0"/>
    <x v="3"/>
    <s v="Manual"/>
    <s v="Yes"/>
    <n v="2"/>
    <x v="0"/>
    <x v="0"/>
    <x v="0"/>
    <x v="21"/>
    <x v="0"/>
  </r>
  <r>
    <n v="11738"/>
    <x v="0"/>
    <x v="1"/>
    <n v="60000"/>
    <n v="4"/>
    <x v="0"/>
    <s v="Professional"/>
    <s v="Yes"/>
    <n v="0"/>
    <x v="1"/>
    <x v="2"/>
    <x v="0"/>
    <x v="30"/>
    <x v="0"/>
  </r>
  <r>
    <n v="25065"/>
    <x v="0"/>
    <x v="1"/>
    <n v="70000"/>
    <n v="2"/>
    <x v="3"/>
    <s v="Skilled Manual"/>
    <s v="Yes"/>
    <n v="2"/>
    <x v="2"/>
    <x v="2"/>
    <x v="0"/>
    <x v="28"/>
    <x v="0"/>
  </r>
  <r>
    <n v="26238"/>
    <x v="1"/>
    <x v="0"/>
    <n v="40000"/>
    <n v="3"/>
    <x v="1"/>
    <s v="Clerical"/>
    <s v="Yes"/>
    <n v="1"/>
    <x v="3"/>
    <x v="2"/>
    <x v="0"/>
    <x v="23"/>
    <x v="1"/>
  </r>
  <r>
    <n v="23707"/>
    <x v="1"/>
    <x v="1"/>
    <n v="70000"/>
    <n v="5"/>
    <x v="0"/>
    <s v="Management"/>
    <s v="Yes"/>
    <n v="3"/>
    <x v="4"/>
    <x v="2"/>
    <x v="1"/>
    <x v="2"/>
    <x v="1"/>
  </r>
  <r>
    <n v="27650"/>
    <x v="0"/>
    <x v="1"/>
    <n v="70000"/>
    <n v="4"/>
    <x v="2"/>
    <s v="Professional"/>
    <s v="Yes"/>
    <n v="0"/>
    <x v="2"/>
    <x v="2"/>
    <x v="0"/>
    <x v="36"/>
    <x v="0"/>
  </r>
  <r>
    <n v="24981"/>
    <x v="0"/>
    <x v="1"/>
    <n v="60000"/>
    <n v="2"/>
    <x v="1"/>
    <s v="Professional"/>
    <s v="Yes"/>
    <n v="2"/>
    <x v="4"/>
    <x v="2"/>
    <x v="1"/>
    <x v="16"/>
    <x v="0"/>
  </r>
  <r>
    <n v="20678"/>
    <x v="1"/>
    <x v="0"/>
    <n v="60000"/>
    <n v="3"/>
    <x v="0"/>
    <s v="Skilled Manual"/>
    <s v="Yes"/>
    <n v="1"/>
    <x v="1"/>
    <x v="2"/>
    <x v="0"/>
    <x v="8"/>
    <x v="1"/>
  </r>
  <r>
    <n v="15302"/>
    <x v="1"/>
    <x v="0"/>
    <n v="70000"/>
    <n v="1"/>
    <x v="4"/>
    <s v="Professional"/>
    <s v="Yes"/>
    <n v="0"/>
    <x v="1"/>
    <x v="2"/>
    <x v="0"/>
    <x v="17"/>
    <x v="1"/>
  </r>
  <r>
    <n v="26012"/>
    <x v="0"/>
    <x v="1"/>
    <n v="80000"/>
    <n v="1"/>
    <x v="1"/>
    <s v="Skilled Manual"/>
    <s v="Yes"/>
    <n v="1"/>
    <x v="1"/>
    <x v="2"/>
    <x v="0"/>
    <x v="28"/>
    <x v="1"/>
  </r>
  <r>
    <n v="26575"/>
    <x v="1"/>
    <x v="0"/>
    <n v="40000"/>
    <n v="0"/>
    <x v="2"/>
    <s v="Skilled Manual"/>
    <s v="No"/>
    <n v="2"/>
    <x v="3"/>
    <x v="2"/>
    <x v="0"/>
    <x v="23"/>
    <x v="1"/>
  </r>
  <r>
    <n v="15559"/>
    <x v="0"/>
    <x v="1"/>
    <n v="60000"/>
    <n v="5"/>
    <x v="0"/>
    <s v="Professional"/>
    <s v="Yes"/>
    <n v="1"/>
    <x v="1"/>
    <x v="2"/>
    <x v="0"/>
    <x v="15"/>
    <x v="0"/>
  </r>
  <r>
    <n v="19235"/>
    <x v="0"/>
    <x v="0"/>
    <n v="50000"/>
    <n v="0"/>
    <x v="4"/>
    <s v="Skilled Manual"/>
    <s v="Yes"/>
    <n v="0"/>
    <x v="0"/>
    <x v="2"/>
    <x v="0"/>
    <x v="17"/>
    <x v="0"/>
  </r>
  <r>
    <n v="15275"/>
    <x v="0"/>
    <x v="1"/>
    <n v="40000"/>
    <n v="0"/>
    <x v="1"/>
    <s v="Skilled Manual"/>
    <s v="Yes"/>
    <n v="1"/>
    <x v="2"/>
    <x v="2"/>
    <x v="2"/>
    <x v="19"/>
    <x v="0"/>
  </r>
  <r>
    <n v="20339"/>
    <x v="0"/>
    <x v="0"/>
    <n v="130000"/>
    <n v="1"/>
    <x v="0"/>
    <s v="Management"/>
    <s v="Yes"/>
    <n v="4"/>
    <x v="1"/>
    <x v="2"/>
    <x v="0"/>
    <x v="20"/>
    <x v="1"/>
  </r>
  <r>
    <n v="25405"/>
    <x v="0"/>
    <x v="1"/>
    <n v="70000"/>
    <n v="2"/>
    <x v="0"/>
    <s v="Skilled Manual"/>
    <s v="Yes"/>
    <n v="1"/>
    <x v="1"/>
    <x v="2"/>
    <x v="0"/>
    <x v="13"/>
    <x v="1"/>
  </r>
  <r>
    <n v="15940"/>
    <x v="0"/>
    <x v="1"/>
    <n v="100000"/>
    <n v="4"/>
    <x v="1"/>
    <s v="Professional"/>
    <s v="Yes"/>
    <n v="4"/>
    <x v="0"/>
    <x v="2"/>
    <x v="0"/>
    <x v="8"/>
    <x v="0"/>
  </r>
  <r>
    <n v="25074"/>
    <x v="0"/>
    <x v="0"/>
    <n v="70000"/>
    <n v="4"/>
    <x v="0"/>
    <s v="Professional"/>
    <s v="Yes"/>
    <n v="2"/>
    <x v="1"/>
    <x v="2"/>
    <x v="0"/>
    <x v="0"/>
    <x v="1"/>
  </r>
  <r>
    <n v="24738"/>
    <x v="0"/>
    <x v="0"/>
    <n v="40000"/>
    <n v="1"/>
    <x v="1"/>
    <s v="Clerical"/>
    <s v="Yes"/>
    <n v="1"/>
    <x v="3"/>
    <x v="2"/>
    <x v="0"/>
    <x v="36"/>
    <x v="1"/>
  </r>
  <r>
    <n v="16337"/>
    <x v="0"/>
    <x v="1"/>
    <n v="60000"/>
    <n v="0"/>
    <x v="1"/>
    <s v="Skilled Manual"/>
    <s v="No"/>
    <n v="2"/>
    <x v="3"/>
    <x v="2"/>
    <x v="2"/>
    <x v="19"/>
    <x v="0"/>
  </r>
  <r>
    <n v="24357"/>
    <x v="0"/>
    <x v="1"/>
    <n v="80000"/>
    <n v="3"/>
    <x v="0"/>
    <s v="Professional"/>
    <s v="Yes"/>
    <n v="1"/>
    <x v="1"/>
    <x v="2"/>
    <x v="0"/>
    <x v="28"/>
    <x v="1"/>
  </r>
  <r>
    <n v="18613"/>
    <x v="1"/>
    <x v="1"/>
    <n v="70000"/>
    <n v="0"/>
    <x v="0"/>
    <s v="Professional"/>
    <s v="No"/>
    <n v="1"/>
    <x v="1"/>
    <x v="2"/>
    <x v="0"/>
    <x v="34"/>
    <x v="1"/>
  </r>
  <r>
    <n v="12207"/>
    <x v="1"/>
    <x v="1"/>
    <n v="80000"/>
    <n v="4"/>
    <x v="0"/>
    <s v="Management"/>
    <s v="Yes"/>
    <n v="0"/>
    <x v="2"/>
    <x v="2"/>
    <x v="1"/>
    <x v="29"/>
    <x v="1"/>
  </r>
  <r>
    <n v="18052"/>
    <x v="0"/>
    <x v="0"/>
    <n v="60000"/>
    <n v="1"/>
    <x v="1"/>
    <s v="Skilled Manual"/>
    <s v="Yes"/>
    <n v="1"/>
    <x v="0"/>
    <x v="2"/>
    <x v="0"/>
    <x v="12"/>
    <x v="1"/>
  </r>
  <r>
    <n v="13353"/>
    <x v="1"/>
    <x v="0"/>
    <n v="60000"/>
    <n v="4"/>
    <x v="4"/>
    <s v="Management"/>
    <s v="Yes"/>
    <n v="2"/>
    <x v="4"/>
    <x v="2"/>
    <x v="1"/>
    <x v="33"/>
    <x v="1"/>
  </r>
  <r>
    <n v="19399"/>
    <x v="1"/>
    <x v="1"/>
    <n v="40000"/>
    <n v="0"/>
    <x v="0"/>
    <s v="Professional"/>
    <s v="No"/>
    <n v="1"/>
    <x v="1"/>
    <x v="2"/>
    <x v="0"/>
    <x v="12"/>
    <x v="0"/>
  </r>
  <r>
    <n v="16154"/>
    <x v="0"/>
    <x v="0"/>
    <n v="70000"/>
    <n v="5"/>
    <x v="0"/>
    <s v="Professional"/>
    <s v="Yes"/>
    <n v="2"/>
    <x v="1"/>
    <x v="2"/>
    <x v="0"/>
    <x v="15"/>
    <x v="0"/>
  </r>
  <r>
    <n v="22219"/>
    <x v="0"/>
    <x v="0"/>
    <n v="60000"/>
    <n v="2"/>
    <x v="2"/>
    <s v="Professional"/>
    <s v="Yes"/>
    <n v="2"/>
    <x v="2"/>
    <x v="2"/>
    <x v="0"/>
    <x v="38"/>
    <x v="0"/>
  </r>
  <r>
    <n v="17269"/>
    <x v="1"/>
    <x v="1"/>
    <n v="60000"/>
    <n v="3"/>
    <x v="0"/>
    <s v="Professional"/>
    <s v="No"/>
    <n v="0"/>
    <x v="0"/>
    <x v="2"/>
    <x v="0"/>
    <x v="15"/>
    <x v="1"/>
  </r>
  <r>
    <n v="23586"/>
    <x v="0"/>
    <x v="0"/>
    <n v="80000"/>
    <n v="0"/>
    <x v="0"/>
    <s v="Management"/>
    <s v="Yes"/>
    <n v="1"/>
    <x v="3"/>
    <x v="2"/>
    <x v="0"/>
    <x v="17"/>
    <x v="1"/>
  </r>
  <r>
    <n v="15740"/>
    <x v="0"/>
    <x v="1"/>
    <n v="80000"/>
    <n v="5"/>
    <x v="0"/>
    <s v="Management"/>
    <s v="Yes"/>
    <n v="2"/>
    <x v="3"/>
    <x v="2"/>
    <x v="1"/>
    <x v="46"/>
    <x v="0"/>
  </r>
  <r>
    <n v="27638"/>
    <x v="1"/>
    <x v="1"/>
    <n v="100000"/>
    <n v="1"/>
    <x v="1"/>
    <s v="Professional"/>
    <s v="No"/>
    <n v="3"/>
    <x v="3"/>
    <x v="2"/>
    <x v="0"/>
    <x v="20"/>
    <x v="0"/>
  </r>
  <r>
    <n v="18976"/>
    <x v="1"/>
    <x v="1"/>
    <n v="40000"/>
    <n v="4"/>
    <x v="2"/>
    <s v="Professional"/>
    <s v="Yes"/>
    <n v="2"/>
    <x v="4"/>
    <x v="2"/>
    <x v="1"/>
    <x v="24"/>
    <x v="1"/>
  </r>
  <r>
    <n v="19413"/>
    <x v="1"/>
    <x v="1"/>
    <n v="60000"/>
    <n v="3"/>
    <x v="0"/>
    <s v="Professional"/>
    <s v="No"/>
    <n v="1"/>
    <x v="0"/>
    <x v="2"/>
    <x v="0"/>
    <x v="15"/>
    <x v="1"/>
  </r>
  <r>
    <n v="13283"/>
    <x v="0"/>
    <x v="1"/>
    <n v="80000"/>
    <n v="3"/>
    <x v="1"/>
    <s v="Professional"/>
    <s v="No"/>
    <n v="2"/>
    <x v="0"/>
    <x v="2"/>
    <x v="0"/>
    <x v="38"/>
    <x v="1"/>
  </r>
  <r>
    <n v="17471"/>
    <x v="1"/>
    <x v="0"/>
    <n v="80000"/>
    <n v="4"/>
    <x v="4"/>
    <s v="Management"/>
    <s v="Yes"/>
    <n v="2"/>
    <x v="2"/>
    <x v="2"/>
    <x v="1"/>
    <x v="41"/>
    <x v="0"/>
  </r>
  <r>
    <n v="16791"/>
    <x v="1"/>
    <x v="1"/>
    <n v="60000"/>
    <n v="5"/>
    <x v="0"/>
    <s v="Management"/>
    <s v="Yes"/>
    <n v="3"/>
    <x v="4"/>
    <x v="2"/>
    <x v="1"/>
    <x v="14"/>
    <x v="1"/>
  </r>
  <r>
    <n v="15382"/>
    <x v="0"/>
    <x v="0"/>
    <n v="110000"/>
    <n v="1"/>
    <x v="0"/>
    <s v="Management"/>
    <s v="Yes"/>
    <n v="2"/>
    <x v="3"/>
    <x v="2"/>
    <x v="0"/>
    <x v="20"/>
    <x v="0"/>
  </r>
  <r>
    <n v="11641"/>
    <x v="0"/>
    <x v="1"/>
    <n v="50000"/>
    <n v="1"/>
    <x v="0"/>
    <s v="Skilled Manual"/>
    <s v="Yes"/>
    <n v="0"/>
    <x v="0"/>
    <x v="2"/>
    <x v="0"/>
    <x v="4"/>
    <x v="0"/>
  </r>
  <r>
    <n v="11935"/>
    <x v="1"/>
    <x v="0"/>
    <n v="30000"/>
    <n v="0"/>
    <x v="1"/>
    <s v="Skilled Manual"/>
    <s v="Yes"/>
    <n v="1"/>
    <x v="2"/>
    <x v="2"/>
    <x v="2"/>
    <x v="26"/>
    <x v="0"/>
  </r>
  <r>
    <n v="13233"/>
    <x v="0"/>
    <x v="1"/>
    <n v="60000"/>
    <n v="2"/>
    <x v="1"/>
    <s v="Professional"/>
    <s v="Yes"/>
    <n v="1"/>
    <x v="4"/>
    <x v="2"/>
    <x v="1"/>
    <x v="42"/>
    <x v="1"/>
  </r>
  <r>
    <n v="25909"/>
    <x v="0"/>
    <x v="1"/>
    <n v="60000"/>
    <n v="0"/>
    <x v="1"/>
    <s v="Skilled Manual"/>
    <s v="Yes"/>
    <n v="1"/>
    <x v="2"/>
    <x v="2"/>
    <x v="2"/>
    <x v="40"/>
    <x v="1"/>
  </r>
  <r>
    <n v="14092"/>
    <x v="1"/>
    <x v="1"/>
    <n v="30000"/>
    <n v="0"/>
    <x v="3"/>
    <s v="Clerical"/>
    <s v="Yes"/>
    <n v="2"/>
    <x v="2"/>
    <x v="2"/>
    <x v="2"/>
    <x v="26"/>
    <x v="0"/>
  </r>
  <r>
    <n v="29143"/>
    <x v="1"/>
    <x v="0"/>
    <n v="60000"/>
    <n v="1"/>
    <x v="0"/>
    <s v="Professional"/>
    <s v="No"/>
    <n v="1"/>
    <x v="0"/>
    <x v="2"/>
    <x v="0"/>
    <x v="20"/>
    <x v="1"/>
  </r>
  <r>
    <n v="24941"/>
    <x v="0"/>
    <x v="1"/>
    <n v="60000"/>
    <n v="3"/>
    <x v="0"/>
    <s v="Management"/>
    <s v="Yes"/>
    <n v="2"/>
    <x v="4"/>
    <x v="2"/>
    <x v="1"/>
    <x v="29"/>
    <x v="0"/>
  </r>
  <r>
    <n v="24637"/>
    <x v="0"/>
    <x v="1"/>
    <n v="40000"/>
    <n v="4"/>
    <x v="2"/>
    <s v="Professional"/>
    <s v="Yes"/>
    <n v="2"/>
    <x v="4"/>
    <x v="2"/>
    <x v="1"/>
    <x v="46"/>
    <x v="0"/>
  </r>
  <r>
    <n v="23893"/>
    <x v="0"/>
    <x v="1"/>
    <n v="50000"/>
    <n v="3"/>
    <x v="0"/>
    <s v="Skilled Manual"/>
    <s v="Yes"/>
    <n v="3"/>
    <x v="4"/>
    <x v="2"/>
    <x v="0"/>
    <x v="3"/>
    <x v="0"/>
  </r>
  <r>
    <n v="13907"/>
    <x v="1"/>
    <x v="0"/>
    <n v="80000"/>
    <n v="3"/>
    <x v="0"/>
    <s v="Skilled Manual"/>
    <s v="Yes"/>
    <n v="1"/>
    <x v="0"/>
    <x v="2"/>
    <x v="0"/>
    <x v="3"/>
    <x v="1"/>
  </r>
  <r>
    <n v="14900"/>
    <x v="0"/>
    <x v="0"/>
    <n v="40000"/>
    <n v="1"/>
    <x v="1"/>
    <s v="Clerical"/>
    <s v="Yes"/>
    <n v="1"/>
    <x v="3"/>
    <x v="2"/>
    <x v="0"/>
    <x v="38"/>
    <x v="1"/>
  </r>
  <r>
    <n v="11262"/>
    <x v="0"/>
    <x v="0"/>
    <n v="80000"/>
    <n v="4"/>
    <x v="0"/>
    <s v="Management"/>
    <s v="Yes"/>
    <n v="0"/>
    <x v="0"/>
    <x v="2"/>
    <x v="0"/>
    <x v="0"/>
    <x v="0"/>
  </r>
  <r>
    <n v="22294"/>
    <x v="1"/>
    <x v="0"/>
    <n v="70000"/>
    <n v="0"/>
    <x v="0"/>
    <s v="Professional"/>
    <s v="No"/>
    <n v="1"/>
    <x v="1"/>
    <x v="2"/>
    <x v="0"/>
    <x v="34"/>
    <x v="1"/>
  </r>
  <r>
    <n v="12195"/>
    <x v="1"/>
    <x v="0"/>
    <n v="70000"/>
    <n v="3"/>
    <x v="4"/>
    <s v="Management"/>
    <s v="Yes"/>
    <n v="2"/>
    <x v="3"/>
    <x v="2"/>
    <x v="0"/>
    <x v="31"/>
    <x v="0"/>
  </r>
  <r>
    <n v="25375"/>
    <x v="0"/>
    <x v="1"/>
    <n v="50000"/>
    <n v="1"/>
    <x v="4"/>
    <s v="Skilled Manual"/>
    <s v="Yes"/>
    <n v="0"/>
    <x v="3"/>
    <x v="2"/>
    <x v="0"/>
    <x v="17"/>
    <x v="0"/>
  </r>
  <r>
    <n v="11143"/>
    <x v="0"/>
    <x v="1"/>
    <n v="40000"/>
    <n v="0"/>
    <x v="2"/>
    <s v="Skilled Manual"/>
    <s v="Yes"/>
    <n v="2"/>
    <x v="2"/>
    <x v="2"/>
    <x v="2"/>
    <x v="19"/>
    <x v="0"/>
  </r>
  <r>
    <n v="25898"/>
    <x v="0"/>
    <x v="0"/>
    <n v="70000"/>
    <n v="2"/>
    <x v="2"/>
    <s v="Professional"/>
    <s v="Yes"/>
    <n v="2"/>
    <x v="1"/>
    <x v="2"/>
    <x v="0"/>
    <x v="39"/>
    <x v="0"/>
  </r>
  <r>
    <n v="24397"/>
    <x v="1"/>
    <x v="1"/>
    <n v="120000"/>
    <n v="2"/>
    <x v="0"/>
    <s v="Management"/>
    <s v="No"/>
    <n v="4"/>
    <x v="3"/>
    <x v="2"/>
    <x v="0"/>
    <x v="8"/>
    <x v="0"/>
  </r>
  <r>
    <n v="19758"/>
    <x v="1"/>
    <x v="1"/>
    <n v="60000"/>
    <n v="0"/>
    <x v="1"/>
    <s v="Skilled Manual"/>
    <s v="No"/>
    <n v="2"/>
    <x v="3"/>
    <x v="2"/>
    <x v="2"/>
    <x v="19"/>
    <x v="0"/>
  </r>
  <r>
    <n v="15529"/>
    <x v="0"/>
    <x v="1"/>
    <n v="60000"/>
    <n v="4"/>
    <x v="0"/>
    <s v="Professional"/>
    <s v="Yes"/>
    <n v="2"/>
    <x v="1"/>
    <x v="2"/>
    <x v="0"/>
    <x v="1"/>
    <x v="1"/>
  </r>
  <r>
    <n v="19884"/>
    <x v="0"/>
    <x v="1"/>
    <n v="60000"/>
    <n v="2"/>
    <x v="2"/>
    <s v="Professional"/>
    <s v="Yes"/>
    <n v="2"/>
    <x v="1"/>
    <x v="2"/>
    <x v="1"/>
    <x v="10"/>
    <x v="1"/>
  </r>
  <r>
    <n v="18674"/>
    <x v="1"/>
    <x v="0"/>
    <n v="80000"/>
    <n v="4"/>
    <x v="4"/>
    <s v="Skilled Manual"/>
    <s v="No"/>
    <n v="0"/>
    <x v="0"/>
    <x v="2"/>
    <x v="0"/>
    <x v="28"/>
    <x v="0"/>
  </r>
  <r>
    <n v="13453"/>
    <x v="0"/>
    <x v="0"/>
    <n v="130000"/>
    <n v="3"/>
    <x v="0"/>
    <s v="Management"/>
    <s v="Yes"/>
    <n v="3"/>
    <x v="0"/>
    <x v="2"/>
    <x v="0"/>
    <x v="12"/>
    <x v="1"/>
  </r>
  <r>
    <n v="14063"/>
    <x v="1"/>
    <x v="0"/>
    <n v="70000"/>
    <n v="0"/>
    <x v="0"/>
    <s v="Professional"/>
    <s v="No"/>
    <n v="1"/>
    <x v="0"/>
    <x v="1"/>
    <x v="0"/>
    <x v="0"/>
    <x v="1"/>
  </r>
  <r>
    <n v="27393"/>
    <x v="0"/>
    <x v="0"/>
    <n v="50000"/>
    <n v="4"/>
    <x v="0"/>
    <s v="Management"/>
    <s v="Yes"/>
    <n v="2"/>
    <x v="4"/>
    <x v="2"/>
    <x v="1"/>
    <x v="18"/>
    <x v="0"/>
  </r>
  <r>
    <n v="14417"/>
    <x v="1"/>
    <x v="1"/>
    <n v="60000"/>
    <n v="3"/>
    <x v="2"/>
    <s v="Professional"/>
    <s v="Yes"/>
    <n v="2"/>
    <x v="4"/>
    <x v="2"/>
    <x v="0"/>
    <x v="9"/>
    <x v="1"/>
  </r>
  <r>
    <n v="17533"/>
    <x v="0"/>
    <x v="1"/>
    <n v="40000"/>
    <n v="3"/>
    <x v="1"/>
    <s v="Professional"/>
    <s v="No"/>
    <n v="2"/>
    <x v="2"/>
    <x v="2"/>
    <x v="1"/>
    <x v="49"/>
    <x v="1"/>
  </r>
  <r>
    <n v="18580"/>
    <x v="0"/>
    <x v="0"/>
    <n v="60000"/>
    <n v="2"/>
    <x v="4"/>
    <s v="Professional"/>
    <s v="Yes"/>
    <n v="0"/>
    <x v="1"/>
    <x v="2"/>
    <x v="0"/>
    <x v="8"/>
    <x v="1"/>
  </r>
  <r>
    <n v="17025"/>
    <x v="1"/>
    <x v="1"/>
    <n v="50000"/>
    <n v="0"/>
    <x v="1"/>
    <s v="Skilled Manual"/>
    <s v="No"/>
    <n v="1"/>
    <x v="1"/>
    <x v="2"/>
    <x v="0"/>
    <x v="32"/>
    <x v="1"/>
  </r>
  <r>
    <n v="25293"/>
    <x v="0"/>
    <x v="1"/>
    <n v="80000"/>
    <n v="4"/>
    <x v="0"/>
    <s v="Management"/>
    <s v="Yes"/>
    <n v="0"/>
    <x v="3"/>
    <x v="2"/>
    <x v="0"/>
    <x v="0"/>
    <x v="0"/>
  </r>
  <r>
    <n v="24725"/>
    <x v="0"/>
    <x v="0"/>
    <n v="40000"/>
    <n v="3"/>
    <x v="1"/>
    <s v="Clerical"/>
    <s v="Yes"/>
    <n v="0"/>
    <x v="3"/>
    <x v="2"/>
    <x v="0"/>
    <x v="23"/>
    <x v="0"/>
  </r>
  <r>
    <n v="23200"/>
    <x v="0"/>
    <x v="0"/>
    <n v="50000"/>
    <n v="3"/>
    <x v="0"/>
    <s v="Skilled Manual"/>
    <s v="Yes"/>
    <n v="2"/>
    <x v="0"/>
    <x v="2"/>
    <x v="0"/>
    <x v="3"/>
    <x v="0"/>
  </r>
  <r>
    <n v="15895"/>
    <x v="1"/>
    <x v="0"/>
    <n v="60000"/>
    <n v="2"/>
    <x v="0"/>
    <s v="Management"/>
    <s v="Yes"/>
    <n v="0"/>
    <x v="4"/>
    <x v="2"/>
    <x v="1"/>
    <x v="7"/>
    <x v="0"/>
  </r>
  <r>
    <n v="18577"/>
    <x v="0"/>
    <x v="0"/>
    <n v="60000"/>
    <n v="0"/>
    <x v="4"/>
    <s v="Professional"/>
    <s v="Yes"/>
    <n v="0"/>
    <x v="0"/>
    <x v="2"/>
    <x v="0"/>
    <x v="8"/>
    <x v="0"/>
  </r>
  <r>
    <n v="27218"/>
    <x v="0"/>
    <x v="0"/>
    <n v="20000"/>
    <n v="2"/>
    <x v="3"/>
    <s v="Clerical"/>
    <s v="No"/>
    <n v="0"/>
    <x v="0"/>
    <x v="2"/>
    <x v="0"/>
    <x v="28"/>
    <x v="0"/>
  </r>
  <r>
    <n v="18560"/>
    <x v="0"/>
    <x v="0"/>
    <n v="70000"/>
    <n v="2"/>
    <x v="4"/>
    <s v="Professional"/>
    <s v="Yes"/>
    <n v="0"/>
    <x v="1"/>
    <x v="2"/>
    <x v="0"/>
    <x v="17"/>
    <x v="1"/>
  </r>
  <r>
    <n v="25006"/>
    <x v="1"/>
    <x v="0"/>
    <n v="30000"/>
    <n v="0"/>
    <x v="1"/>
    <s v="Skilled Manual"/>
    <s v="Yes"/>
    <n v="1"/>
    <x v="2"/>
    <x v="2"/>
    <x v="2"/>
    <x v="26"/>
    <x v="0"/>
  </r>
  <r>
    <n v="17369"/>
    <x v="1"/>
    <x v="1"/>
    <n v="30000"/>
    <n v="0"/>
    <x v="1"/>
    <s v="Skilled Manual"/>
    <s v="Yes"/>
    <n v="1"/>
    <x v="2"/>
    <x v="2"/>
    <x v="2"/>
    <x v="40"/>
    <x v="0"/>
  </r>
  <r>
    <n v="14495"/>
    <x v="0"/>
    <x v="1"/>
    <n v="40000"/>
    <n v="3"/>
    <x v="1"/>
    <s v="Professional"/>
    <s v="No"/>
    <n v="2"/>
    <x v="2"/>
    <x v="2"/>
    <x v="0"/>
    <x v="9"/>
    <x v="1"/>
  </r>
  <r>
    <n v="18847"/>
    <x v="0"/>
    <x v="0"/>
    <n v="60000"/>
    <n v="2"/>
    <x v="4"/>
    <s v="Management"/>
    <s v="Yes"/>
    <n v="2"/>
    <x v="2"/>
    <x v="2"/>
    <x v="1"/>
    <x v="43"/>
    <x v="0"/>
  </r>
  <r>
    <n v="14754"/>
    <x v="0"/>
    <x v="1"/>
    <n v="40000"/>
    <n v="1"/>
    <x v="1"/>
    <s v="Clerical"/>
    <s v="Yes"/>
    <n v="1"/>
    <x v="3"/>
    <x v="2"/>
    <x v="0"/>
    <x v="28"/>
    <x v="1"/>
  </r>
  <r>
    <n v="23378"/>
    <x v="0"/>
    <x v="1"/>
    <n v="70000"/>
    <n v="1"/>
    <x v="1"/>
    <s v="Skilled Manual"/>
    <s v="Yes"/>
    <n v="1"/>
    <x v="1"/>
    <x v="2"/>
    <x v="0"/>
    <x v="20"/>
    <x v="1"/>
  </r>
  <r>
    <n v="26452"/>
    <x v="1"/>
    <x v="1"/>
    <n v="50000"/>
    <n v="3"/>
    <x v="4"/>
    <s v="Management"/>
    <s v="Yes"/>
    <n v="2"/>
    <x v="4"/>
    <x v="2"/>
    <x v="1"/>
    <x v="45"/>
    <x v="0"/>
  </r>
  <r>
    <n v="20370"/>
    <x v="0"/>
    <x v="1"/>
    <n v="70000"/>
    <n v="3"/>
    <x v="3"/>
    <s v="Skilled Manual"/>
    <s v="Yes"/>
    <n v="2"/>
    <x v="2"/>
    <x v="2"/>
    <x v="0"/>
    <x v="31"/>
    <x v="0"/>
  </r>
  <r>
    <n v="20528"/>
    <x v="0"/>
    <x v="1"/>
    <n v="40000"/>
    <n v="2"/>
    <x v="3"/>
    <s v="Skilled Manual"/>
    <s v="Yes"/>
    <n v="2"/>
    <x v="1"/>
    <x v="2"/>
    <x v="1"/>
    <x v="10"/>
    <x v="0"/>
  </r>
  <r>
    <n v="23549"/>
    <x v="1"/>
    <x v="1"/>
    <n v="30000"/>
    <n v="0"/>
    <x v="2"/>
    <s v="Skilled Manual"/>
    <s v="Yes"/>
    <n v="2"/>
    <x v="2"/>
    <x v="2"/>
    <x v="2"/>
    <x v="25"/>
    <x v="0"/>
  </r>
  <r>
    <n v="21751"/>
    <x v="0"/>
    <x v="1"/>
    <n v="60000"/>
    <n v="3"/>
    <x v="4"/>
    <s v="Management"/>
    <s v="Yes"/>
    <n v="2"/>
    <x v="3"/>
    <x v="2"/>
    <x v="1"/>
    <x v="18"/>
    <x v="0"/>
  </r>
  <r>
    <n v="21266"/>
    <x v="1"/>
    <x v="0"/>
    <n v="80000"/>
    <n v="0"/>
    <x v="0"/>
    <s v="Management"/>
    <s v="Yes"/>
    <n v="1"/>
    <x v="3"/>
    <x v="2"/>
    <x v="0"/>
    <x v="17"/>
    <x v="1"/>
  </r>
  <r>
    <n v="13388"/>
    <x v="1"/>
    <x v="1"/>
    <n v="60000"/>
    <n v="2"/>
    <x v="1"/>
    <s v="Professional"/>
    <s v="Yes"/>
    <n v="1"/>
    <x v="4"/>
    <x v="2"/>
    <x v="1"/>
    <x v="16"/>
    <x v="0"/>
  </r>
  <r>
    <n v="18752"/>
    <x v="1"/>
    <x v="0"/>
    <n v="40000"/>
    <n v="0"/>
    <x v="2"/>
    <s v="Skilled Manual"/>
    <s v="Yes"/>
    <n v="1"/>
    <x v="2"/>
    <x v="2"/>
    <x v="0"/>
    <x v="23"/>
    <x v="0"/>
  </r>
  <r>
    <n v="16917"/>
    <x v="0"/>
    <x v="1"/>
    <n v="120000"/>
    <n v="1"/>
    <x v="0"/>
    <s v="Management"/>
    <s v="Yes"/>
    <n v="4"/>
    <x v="0"/>
    <x v="2"/>
    <x v="0"/>
    <x v="13"/>
    <x v="0"/>
  </r>
  <r>
    <n v="15313"/>
    <x v="0"/>
    <x v="1"/>
    <n v="60000"/>
    <n v="4"/>
    <x v="0"/>
    <s v="Management"/>
    <s v="Yes"/>
    <n v="2"/>
    <x v="1"/>
    <x v="2"/>
    <x v="1"/>
    <x v="14"/>
    <x v="0"/>
  </r>
  <r>
    <n v="25329"/>
    <x v="1"/>
    <x v="0"/>
    <n v="40000"/>
    <n v="3"/>
    <x v="1"/>
    <s v="Clerical"/>
    <s v="No"/>
    <n v="2"/>
    <x v="0"/>
    <x v="2"/>
    <x v="0"/>
    <x v="21"/>
    <x v="0"/>
  </r>
  <r>
    <n v="20380"/>
    <x v="0"/>
    <x v="0"/>
    <n v="60000"/>
    <n v="3"/>
    <x v="4"/>
    <s v="Management"/>
    <s v="Yes"/>
    <n v="2"/>
    <x v="4"/>
    <x v="2"/>
    <x v="1"/>
    <x v="45"/>
    <x v="0"/>
  </r>
  <r>
    <n v="23089"/>
    <x v="0"/>
    <x v="1"/>
    <n v="40000"/>
    <n v="0"/>
    <x v="1"/>
    <s v="Skilled Manual"/>
    <s v="Yes"/>
    <n v="1"/>
    <x v="2"/>
    <x v="2"/>
    <x v="2"/>
    <x v="26"/>
    <x v="0"/>
  </r>
  <r>
    <n v="13749"/>
    <x v="0"/>
    <x v="1"/>
    <n v="80000"/>
    <n v="4"/>
    <x v="4"/>
    <s v="Skilled Manual"/>
    <s v="Yes"/>
    <n v="0"/>
    <x v="3"/>
    <x v="2"/>
    <x v="0"/>
    <x v="15"/>
    <x v="0"/>
  </r>
  <r>
    <n v="24943"/>
    <x v="0"/>
    <x v="1"/>
    <n v="60000"/>
    <n v="3"/>
    <x v="0"/>
    <s v="Management"/>
    <s v="Yes"/>
    <n v="2"/>
    <x v="4"/>
    <x v="2"/>
    <x v="1"/>
    <x v="29"/>
    <x v="0"/>
  </r>
  <r>
    <n v="28667"/>
    <x v="1"/>
    <x v="1"/>
    <n v="70000"/>
    <n v="2"/>
    <x v="0"/>
    <s v="Skilled Manual"/>
    <s v="No"/>
    <n v="1"/>
    <x v="0"/>
    <x v="2"/>
    <x v="0"/>
    <x v="34"/>
    <x v="1"/>
  </r>
  <r>
    <n v="15194"/>
    <x v="1"/>
    <x v="1"/>
    <n v="120000"/>
    <n v="2"/>
    <x v="0"/>
    <s v="Management"/>
    <s v="No"/>
    <n v="3"/>
    <x v="0"/>
    <x v="2"/>
    <x v="0"/>
    <x v="32"/>
    <x v="1"/>
  </r>
  <r>
    <n v="17436"/>
    <x v="0"/>
    <x v="1"/>
    <n v="60000"/>
    <n v="2"/>
    <x v="2"/>
    <s v="Professional"/>
    <s v="No"/>
    <n v="2"/>
    <x v="3"/>
    <x v="2"/>
    <x v="0"/>
    <x v="36"/>
    <x v="0"/>
  </r>
  <r>
    <n v="18935"/>
    <x v="0"/>
    <x v="0"/>
    <n v="130000"/>
    <n v="0"/>
    <x v="4"/>
    <s v="Management"/>
    <s v="Yes"/>
    <n v="3"/>
    <x v="3"/>
    <x v="2"/>
    <x v="0"/>
    <x v="8"/>
    <x v="0"/>
  </r>
  <r>
    <n v="16871"/>
    <x v="0"/>
    <x v="0"/>
    <n v="90000"/>
    <n v="2"/>
    <x v="2"/>
    <s v="Professional"/>
    <s v="Yes"/>
    <n v="1"/>
    <x v="4"/>
    <x v="2"/>
    <x v="0"/>
    <x v="36"/>
    <x v="1"/>
  </r>
  <r>
    <n v="12100"/>
    <x v="1"/>
    <x v="1"/>
    <n v="60000"/>
    <n v="2"/>
    <x v="0"/>
    <s v="Management"/>
    <s v="Yes"/>
    <n v="0"/>
    <x v="4"/>
    <x v="2"/>
    <x v="1"/>
    <x v="42"/>
    <x v="0"/>
  </r>
  <r>
    <n v="23158"/>
    <x v="0"/>
    <x v="0"/>
    <n v="60000"/>
    <n v="1"/>
    <x v="4"/>
    <s v="Professional"/>
    <s v="No"/>
    <n v="0"/>
    <x v="0"/>
    <x v="2"/>
    <x v="0"/>
    <x v="11"/>
    <x v="1"/>
  </r>
  <r>
    <n v="18545"/>
    <x v="0"/>
    <x v="1"/>
    <n v="40000"/>
    <n v="4"/>
    <x v="2"/>
    <s v="Professional"/>
    <s v="No"/>
    <n v="2"/>
    <x v="4"/>
    <x v="2"/>
    <x v="1"/>
    <x v="33"/>
    <x v="1"/>
  </r>
  <r>
    <n v="18391"/>
    <x v="1"/>
    <x v="0"/>
    <n v="80000"/>
    <n v="5"/>
    <x v="1"/>
    <s v="Professional"/>
    <s v="Yes"/>
    <n v="2"/>
    <x v="2"/>
    <x v="2"/>
    <x v="0"/>
    <x v="20"/>
    <x v="0"/>
  </r>
  <r>
    <n v="19812"/>
    <x v="1"/>
    <x v="0"/>
    <n v="70000"/>
    <n v="2"/>
    <x v="1"/>
    <s v="Professional"/>
    <s v="Yes"/>
    <n v="0"/>
    <x v="2"/>
    <x v="2"/>
    <x v="0"/>
    <x v="38"/>
    <x v="1"/>
  </r>
  <r>
    <n v="27660"/>
    <x v="0"/>
    <x v="1"/>
    <n v="80000"/>
    <n v="4"/>
    <x v="4"/>
    <s v="Management"/>
    <s v="Yes"/>
    <n v="2"/>
    <x v="2"/>
    <x v="2"/>
    <x v="1"/>
    <x v="43"/>
    <x v="0"/>
  </r>
  <r>
    <n v="18058"/>
    <x v="1"/>
    <x v="0"/>
    <n v="20000"/>
    <n v="3"/>
    <x v="2"/>
    <s v="Skilled Manual"/>
    <s v="Yes"/>
    <n v="2"/>
    <x v="1"/>
    <x v="2"/>
    <x v="1"/>
    <x v="44"/>
    <x v="0"/>
  </r>
  <r>
    <n v="20343"/>
    <x v="0"/>
    <x v="0"/>
    <n v="90000"/>
    <n v="4"/>
    <x v="1"/>
    <s v="Professional"/>
    <s v="Yes"/>
    <n v="1"/>
    <x v="3"/>
    <x v="2"/>
    <x v="0"/>
    <x v="12"/>
    <x v="0"/>
  </r>
  <r>
    <n v="28997"/>
    <x v="1"/>
    <x v="1"/>
    <n v="40000"/>
    <n v="2"/>
    <x v="2"/>
    <s v="Professional"/>
    <s v="No"/>
    <n v="1"/>
    <x v="1"/>
    <x v="2"/>
    <x v="1"/>
    <x v="7"/>
    <x v="1"/>
  </r>
  <r>
    <n v="24398"/>
    <x v="0"/>
    <x v="1"/>
    <n v="130000"/>
    <n v="1"/>
    <x v="4"/>
    <s v="Management"/>
    <s v="Yes"/>
    <n v="4"/>
    <x v="0"/>
    <x v="2"/>
    <x v="0"/>
    <x v="3"/>
    <x v="0"/>
  </r>
  <r>
    <n v="19002"/>
    <x v="0"/>
    <x v="0"/>
    <n v="60000"/>
    <n v="2"/>
    <x v="1"/>
    <s v="Professional"/>
    <s v="Yes"/>
    <n v="1"/>
    <x v="1"/>
    <x v="2"/>
    <x v="1"/>
    <x v="42"/>
    <x v="1"/>
  </r>
  <r>
    <n v="28609"/>
    <x v="0"/>
    <x v="1"/>
    <n v="30000"/>
    <n v="2"/>
    <x v="2"/>
    <s v="Skilled Manual"/>
    <s v="No"/>
    <n v="2"/>
    <x v="0"/>
    <x v="2"/>
    <x v="0"/>
    <x v="38"/>
    <x v="0"/>
  </r>
  <r>
    <n v="29231"/>
    <x v="1"/>
    <x v="1"/>
    <n v="80000"/>
    <n v="4"/>
    <x v="1"/>
    <s v="Professional"/>
    <s v="No"/>
    <n v="2"/>
    <x v="0"/>
    <x v="2"/>
    <x v="0"/>
    <x v="1"/>
    <x v="0"/>
  </r>
  <r>
    <n v="18858"/>
    <x v="1"/>
    <x v="1"/>
    <n v="60000"/>
    <n v="2"/>
    <x v="3"/>
    <s v="Skilled Manual"/>
    <s v="Yes"/>
    <n v="2"/>
    <x v="2"/>
    <x v="2"/>
    <x v="0"/>
    <x v="31"/>
    <x v="1"/>
  </r>
  <r>
    <n v="20000"/>
    <x v="0"/>
    <x v="1"/>
    <n v="60000"/>
    <n v="1"/>
    <x v="4"/>
    <s v="Professional"/>
    <s v="Yes"/>
    <n v="0"/>
    <x v="0"/>
    <x v="2"/>
    <x v="0"/>
    <x v="11"/>
    <x v="1"/>
  </r>
  <r>
    <n v="25261"/>
    <x v="0"/>
    <x v="1"/>
    <n v="40000"/>
    <n v="0"/>
    <x v="2"/>
    <s v="Skilled Manual"/>
    <s v="Yes"/>
    <n v="2"/>
    <x v="2"/>
    <x v="2"/>
    <x v="2"/>
    <x v="40"/>
    <x v="0"/>
  </r>
  <r>
    <n v="17458"/>
    <x v="1"/>
    <x v="1"/>
    <n v="70000"/>
    <n v="3"/>
    <x v="2"/>
    <s v="Professional"/>
    <s v="Yes"/>
    <n v="0"/>
    <x v="2"/>
    <x v="2"/>
    <x v="0"/>
    <x v="31"/>
    <x v="1"/>
  </r>
  <r>
    <n v="11644"/>
    <x v="1"/>
    <x v="1"/>
    <n v="40000"/>
    <n v="2"/>
    <x v="0"/>
    <s v="Skilled Manual"/>
    <s v="Yes"/>
    <n v="0"/>
    <x v="1"/>
    <x v="2"/>
    <x v="0"/>
    <x v="4"/>
    <x v="0"/>
  </r>
  <r>
    <n v="16145"/>
    <x v="1"/>
    <x v="0"/>
    <n v="70000"/>
    <n v="5"/>
    <x v="4"/>
    <s v="Professional"/>
    <s v="Yes"/>
    <n v="3"/>
    <x v="4"/>
    <x v="2"/>
    <x v="0"/>
    <x v="30"/>
    <x v="1"/>
  </r>
  <r>
    <n v="16890"/>
    <x v="0"/>
    <x v="1"/>
    <n v="60000"/>
    <n v="3"/>
    <x v="3"/>
    <s v="Skilled Manual"/>
    <s v="Yes"/>
    <n v="2"/>
    <x v="2"/>
    <x v="2"/>
    <x v="0"/>
    <x v="31"/>
    <x v="1"/>
  </r>
  <r>
    <n v="25983"/>
    <x v="0"/>
    <x v="1"/>
    <n v="70000"/>
    <n v="0"/>
    <x v="0"/>
    <s v="Professional"/>
    <s v="No"/>
    <n v="1"/>
    <x v="0"/>
    <x v="2"/>
    <x v="0"/>
    <x v="1"/>
    <x v="0"/>
  </r>
  <r>
    <n v="14633"/>
    <x v="0"/>
    <x v="1"/>
    <n v="60000"/>
    <n v="1"/>
    <x v="1"/>
    <s v="Skilled Manual"/>
    <s v="Yes"/>
    <n v="1"/>
    <x v="1"/>
    <x v="2"/>
    <x v="0"/>
    <x v="20"/>
    <x v="0"/>
  </r>
  <r>
    <n v="22994"/>
    <x v="0"/>
    <x v="0"/>
    <n v="80000"/>
    <n v="0"/>
    <x v="0"/>
    <s v="Management"/>
    <s v="Yes"/>
    <n v="1"/>
    <x v="3"/>
    <x v="2"/>
    <x v="0"/>
    <x v="17"/>
    <x v="1"/>
  </r>
  <r>
    <n v="22983"/>
    <x v="1"/>
    <x v="0"/>
    <n v="30000"/>
    <n v="0"/>
    <x v="3"/>
    <s v="Clerical"/>
    <s v="Yes"/>
    <n v="2"/>
    <x v="2"/>
    <x v="2"/>
    <x v="2"/>
    <x v="40"/>
    <x v="0"/>
  </r>
  <r>
    <n v="25184"/>
    <x v="1"/>
    <x v="1"/>
    <n v="110000"/>
    <n v="1"/>
    <x v="1"/>
    <s v="Professional"/>
    <s v="Yes"/>
    <n v="4"/>
    <x v="2"/>
    <x v="2"/>
    <x v="0"/>
    <x v="12"/>
    <x v="1"/>
  </r>
  <r>
    <n v="14469"/>
    <x v="0"/>
    <x v="0"/>
    <n v="100000"/>
    <n v="3"/>
    <x v="1"/>
    <s v="Professional"/>
    <s v="Yes"/>
    <n v="4"/>
    <x v="3"/>
    <x v="2"/>
    <x v="0"/>
    <x v="12"/>
    <x v="0"/>
  </r>
  <r>
    <n v="11538"/>
    <x v="1"/>
    <x v="0"/>
    <n v="60000"/>
    <n v="4"/>
    <x v="4"/>
    <s v="Skilled Manual"/>
    <s v="No"/>
    <n v="0"/>
    <x v="0"/>
    <x v="2"/>
    <x v="0"/>
    <x v="15"/>
    <x v="1"/>
  </r>
  <r>
    <n v="16245"/>
    <x v="1"/>
    <x v="0"/>
    <n v="80000"/>
    <n v="4"/>
    <x v="4"/>
    <s v="Skilled Manual"/>
    <s v="Yes"/>
    <n v="0"/>
    <x v="3"/>
    <x v="2"/>
    <x v="0"/>
    <x v="15"/>
    <x v="0"/>
  </r>
  <r>
    <n v="17858"/>
    <x v="0"/>
    <x v="1"/>
    <n v="40000"/>
    <n v="4"/>
    <x v="2"/>
    <s v="Skilled Manual"/>
    <s v="Yes"/>
    <n v="2"/>
    <x v="1"/>
    <x v="2"/>
    <x v="0"/>
    <x v="20"/>
    <x v="1"/>
  </r>
  <r>
    <n v="25347"/>
    <x v="1"/>
    <x v="0"/>
    <n v="20000"/>
    <n v="3"/>
    <x v="3"/>
    <s v="Clerical"/>
    <s v="No"/>
    <n v="2"/>
    <x v="0"/>
    <x v="2"/>
    <x v="0"/>
    <x v="38"/>
    <x v="0"/>
  </r>
  <r>
    <n v="15814"/>
    <x v="1"/>
    <x v="0"/>
    <n v="40000"/>
    <n v="0"/>
    <x v="2"/>
    <s v="Skilled Manual"/>
    <s v="Yes"/>
    <n v="1"/>
    <x v="2"/>
    <x v="2"/>
    <x v="2"/>
    <x v="25"/>
    <x v="0"/>
  </r>
  <r>
    <n v="11259"/>
    <x v="0"/>
    <x v="0"/>
    <n v="100000"/>
    <n v="4"/>
    <x v="1"/>
    <s v="Professional"/>
    <s v="Yes"/>
    <n v="4"/>
    <x v="1"/>
    <x v="2"/>
    <x v="0"/>
    <x v="3"/>
    <x v="1"/>
  </r>
  <r>
    <n v="11200"/>
    <x v="0"/>
    <x v="1"/>
    <n v="70000"/>
    <n v="4"/>
    <x v="0"/>
    <s v="Management"/>
    <s v="Yes"/>
    <n v="1"/>
    <x v="3"/>
    <x v="2"/>
    <x v="1"/>
    <x v="7"/>
    <x v="0"/>
  </r>
  <r>
    <n v="25101"/>
    <x v="0"/>
    <x v="1"/>
    <n v="60000"/>
    <n v="5"/>
    <x v="0"/>
    <s v="Professional"/>
    <s v="Yes"/>
    <n v="1"/>
    <x v="1"/>
    <x v="2"/>
    <x v="0"/>
    <x v="15"/>
    <x v="0"/>
  </r>
  <r>
    <n v="21801"/>
    <x v="0"/>
    <x v="0"/>
    <n v="70000"/>
    <n v="4"/>
    <x v="1"/>
    <s v="Professional"/>
    <s v="Yes"/>
    <n v="1"/>
    <x v="3"/>
    <x v="2"/>
    <x v="1"/>
    <x v="10"/>
    <x v="0"/>
  </r>
  <r>
    <n v="25943"/>
    <x v="1"/>
    <x v="0"/>
    <n v="70000"/>
    <n v="0"/>
    <x v="1"/>
    <s v="Skilled Manual"/>
    <s v="No"/>
    <n v="2"/>
    <x v="0"/>
    <x v="2"/>
    <x v="2"/>
    <x v="40"/>
    <x v="1"/>
  </r>
  <r>
    <n v="22127"/>
    <x v="0"/>
    <x v="1"/>
    <n v="60000"/>
    <n v="3"/>
    <x v="4"/>
    <s v="Management"/>
    <s v="Yes"/>
    <n v="2"/>
    <x v="3"/>
    <x v="2"/>
    <x v="1"/>
    <x v="41"/>
    <x v="0"/>
  </r>
  <r>
    <n v="20414"/>
    <x v="0"/>
    <x v="0"/>
    <n v="60000"/>
    <n v="0"/>
    <x v="1"/>
    <s v="Skilled Manual"/>
    <s v="Yes"/>
    <n v="2"/>
    <x v="2"/>
    <x v="2"/>
    <x v="2"/>
    <x v="19"/>
    <x v="0"/>
  </r>
  <r>
    <n v="23672"/>
    <x v="0"/>
    <x v="0"/>
    <n v="60000"/>
    <n v="3"/>
    <x v="4"/>
    <s v="Management"/>
    <s v="Yes"/>
    <n v="2"/>
    <x v="3"/>
    <x v="2"/>
    <x v="1"/>
    <x v="41"/>
    <x v="0"/>
  </r>
  <r>
    <n v="29255"/>
    <x v="1"/>
    <x v="1"/>
    <n v="80000"/>
    <n v="3"/>
    <x v="1"/>
    <s v="Professional"/>
    <s v="No"/>
    <n v="1"/>
    <x v="3"/>
    <x v="2"/>
    <x v="0"/>
    <x v="36"/>
    <x v="1"/>
  </r>
  <r>
    <n v="28815"/>
    <x v="0"/>
    <x v="0"/>
    <n v="50000"/>
    <n v="1"/>
    <x v="4"/>
    <s v="Skilled Manual"/>
    <s v="Yes"/>
    <n v="0"/>
    <x v="0"/>
    <x v="2"/>
    <x v="0"/>
    <x v="11"/>
    <x v="0"/>
  </r>
  <r>
    <n v="27753"/>
    <x v="0"/>
    <x v="1"/>
    <n v="40000"/>
    <n v="0"/>
    <x v="2"/>
    <s v="Skilled Manual"/>
    <s v="No"/>
    <n v="2"/>
    <x v="3"/>
    <x v="2"/>
    <x v="2"/>
    <x v="25"/>
    <x v="0"/>
  </r>
  <r>
    <n v="27643"/>
    <x v="1"/>
    <x v="1"/>
    <n v="70000"/>
    <n v="5"/>
    <x v="1"/>
    <s v="Professional"/>
    <s v="Yes"/>
    <n v="3"/>
    <x v="1"/>
    <x v="2"/>
    <x v="0"/>
    <x v="20"/>
    <x v="0"/>
  </r>
  <r>
    <n v="13754"/>
    <x v="1"/>
    <x v="0"/>
    <n v="80000"/>
    <n v="4"/>
    <x v="4"/>
    <s v="Skilled Manual"/>
    <s v="Yes"/>
    <n v="0"/>
    <x v="3"/>
    <x v="2"/>
    <x v="0"/>
    <x v="28"/>
    <x v="0"/>
  </r>
  <r>
    <n v="22088"/>
    <x v="0"/>
    <x v="0"/>
    <n v="130000"/>
    <n v="1"/>
    <x v="0"/>
    <s v="Management"/>
    <s v="Yes"/>
    <n v="2"/>
    <x v="0"/>
    <x v="2"/>
    <x v="0"/>
    <x v="12"/>
    <x v="1"/>
  </r>
  <r>
    <n v="27388"/>
    <x v="0"/>
    <x v="1"/>
    <n v="60000"/>
    <n v="3"/>
    <x v="0"/>
    <s v="Management"/>
    <s v="No"/>
    <n v="2"/>
    <x v="3"/>
    <x v="2"/>
    <x v="1"/>
    <x v="29"/>
    <x v="0"/>
  </r>
  <r>
    <n v="24745"/>
    <x v="1"/>
    <x v="0"/>
    <n v="30000"/>
    <n v="2"/>
    <x v="2"/>
    <s v="Skilled Manual"/>
    <s v="No"/>
    <n v="2"/>
    <x v="0"/>
    <x v="2"/>
    <x v="0"/>
    <x v="38"/>
    <x v="0"/>
  </r>
  <r>
    <n v="29237"/>
    <x v="1"/>
    <x v="0"/>
    <n v="120000"/>
    <n v="4"/>
    <x v="1"/>
    <s v="Professional"/>
    <s v="Yes"/>
    <n v="3"/>
    <x v="2"/>
    <x v="2"/>
    <x v="0"/>
    <x v="1"/>
    <x v="1"/>
  </r>
  <r>
    <n v="15272"/>
    <x v="1"/>
    <x v="1"/>
    <n v="40000"/>
    <n v="0"/>
    <x v="2"/>
    <s v="Skilled Manual"/>
    <s v="No"/>
    <n v="2"/>
    <x v="3"/>
    <x v="2"/>
    <x v="2"/>
    <x v="25"/>
    <x v="0"/>
  </r>
  <r>
    <n v="18949"/>
    <x v="1"/>
    <x v="1"/>
    <n v="70000"/>
    <n v="0"/>
    <x v="4"/>
    <s v="Management"/>
    <s v="Yes"/>
    <n v="2"/>
    <x v="2"/>
    <x v="2"/>
    <x v="1"/>
    <x v="50"/>
    <x v="1"/>
  </r>
  <r>
    <n v="14507"/>
    <x v="0"/>
    <x v="1"/>
    <n v="100000"/>
    <n v="2"/>
    <x v="4"/>
    <s v="Management"/>
    <s v="Yes"/>
    <n v="3"/>
    <x v="3"/>
    <x v="2"/>
    <x v="1"/>
    <x v="27"/>
    <x v="0"/>
  </r>
  <r>
    <n v="25886"/>
    <x v="0"/>
    <x v="0"/>
    <n v="60000"/>
    <n v="2"/>
    <x v="1"/>
    <s v="Professional"/>
    <s v="Yes"/>
    <n v="2"/>
    <x v="1"/>
    <x v="2"/>
    <x v="1"/>
    <x v="16"/>
    <x v="1"/>
  </r>
  <r>
    <n v="21441"/>
    <x v="0"/>
    <x v="1"/>
    <n v="50000"/>
    <n v="4"/>
    <x v="0"/>
    <s v="Management"/>
    <s v="Yes"/>
    <n v="2"/>
    <x v="4"/>
    <x v="2"/>
    <x v="1"/>
    <x v="46"/>
    <x v="0"/>
  </r>
  <r>
    <n v="21741"/>
    <x v="0"/>
    <x v="0"/>
    <n v="70000"/>
    <n v="3"/>
    <x v="1"/>
    <s v="Professional"/>
    <s v="Yes"/>
    <n v="2"/>
    <x v="2"/>
    <x v="2"/>
    <x v="0"/>
    <x v="5"/>
    <x v="1"/>
  </r>
  <r>
    <n v="14572"/>
    <x v="0"/>
    <x v="0"/>
    <n v="70000"/>
    <n v="3"/>
    <x v="4"/>
    <s v="Professional"/>
    <s v="Yes"/>
    <n v="0"/>
    <x v="1"/>
    <x v="2"/>
    <x v="0"/>
    <x v="11"/>
    <x v="1"/>
  </r>
  <r>
    <n v="23368"/>
    <x v="0"/>
    <x v="0"/>
    <n v="60000"/>
    <n v="5"/>
    <x v="0"/>
    <s v="Skilled Manual"/>
    <s v="Yes"/>
    <n v="3"/>
    <x v="4"/>
    <x v="2"/>
    <x v="0"/>
    <x v="3"/>
    <x v="0"/>
  </r>
  <r>
    <n v="16217"/>
    <x v="1"/>
    <x v="0"/>
    <n v="60000"/>
    <n v="0"/>
    <x v="4"/>
    <s v="Skilled Manual"/>
    <s v="Yes"/>
    <n v="0"/>
    <x v="0"/>
    <x v="2"/>
    <x v="0"/>
    <x v="32"/>
    <x v="0"/>
  </r>
  <r>
    <n v="16247"/>
    <x v="1"/>
    <x v="0"/>
    <n v="60000"/>
    <n v="4"/>
    <x v="4"/>
    <s v="Skilled Manual"/>
    <s v="No"/>
    <n v="0"/>
    <x v="3"/>
    <x v="2"/>
    <x v="0"/>
    <x v="15"/>
    <x v="0"/>
  </r>
  <r>
    <n v="22010"/>
    <x v="1"/>
    <x v="1"/>
    <n v="40000"/>
    <n v="0"/>
    <x v="2"/>
    <s v="Skilled Manual"/>
    <s v="Yes"/>
    <n v="2"/>
    <x v="2"/>
    <x v="2"/>
    <x v="0"/>
    <x v="23"/>
    <x v="0"/>
  </r>
  <r>
    <n v="25872"/>
    <x v="1"/>
    <x v="0"/>
    <n v="70000"/>
    <n v="2"/>
    <x v="0"/>
    <s v="Management"/>
    <s v="No"/>
    <n v="1"/>
    <x v="1"/>
    <x v="2"/>
    <x v="1"/>
    <x v="7"/>
    <x v="1"/>
  </r>
  <r>
    <n v="19164"/>
    <x v="1"/>
    <x v="0"/>
    <n v="70000"/>
    <n v="0"/>
    <x v="0"/>
    <s v="Professional"/>
    <s v="No"/>
    <n v="1"/>
    <x v="1"/>
    <x v="2"/>
    <x v="0"/>
    <x v="13"/>
    <x v="1"/>
  </r>
  <r>
    <n v="18435"/>
    <x v="1"/>
    <x v="0"/>
    <n v="70000"/>
    <n v="5"/>
    <x v="4"/>
    <s v="Management"/>
    <s v="Yes"/>
    <n v="2"/>
    <x v="4"/>
    <x v="2"/>
    <x v="1"/>
    <x v="41"/>
    <x v="1"/>
  </r>
  <r>
    <n v="14284"/>
    <x v="1"/>
    <x v="1"/>
    <n v="60000"/>
    <n v="0"/>
    <x v="1"/>
    <s v="Professional"/>
    <s v="No"/>
    <n v="2"/>
    <x v="3"/>
    <x v="2"/>
    <x v="0"/>
    <x v="21"/>
    <x v="1"/>
  </r>
  <r>
    <n v="11287"/>
    <x v="0"/>
    <x v="1"/>
    <n v="70000"/>
    <n v="5"/>
    <x v="1"/>
    <s v="Professional"/>
    <s v="No"/>
    <n v="3"/>
    <x v="2"/>
    <x v="2"/>
    <x v="0"/>
    <x v="12"/>
    <x v="0"/>
  </r>
  <r>
    <n v="13066"/>
    <x v="1"/>
    <x v="1"/>
    <n v="30000"/>
    <n v="0"/>
    <x v="2"/>
    <s v="Skilled Manual"/>
    <s v="No"/>
    <n v="2"/>
    <x v="3"/>
    <x v="2"/>
    <x v="0"/>
    <x v="23"/>
    <x v="1"/>
  </r>
  <r>
    <n v="29106"/>
    <x v="1"/>
    <x v="1"/>
    <n v="40000"/>
    <n v="0"/>
    <x v="2"/>
    <s v="Skilled Manual"/>
    <s v="No"/>
    <n v="2"/>
    <x v="3"/>
    <x v="2"/>
    <x v="0"/>
    <x v="23"/>
    <x v="1"/>
  </r>
  <r>
    <n v="26236"/>
    <x v="0"/>
    <x v="0"/>
    <n v="40000"/>
    <n v="3"/>
    <x v="1"/>
    <s v="Clerical"/>
    <s v="Yes"/>
    <n v="1"/>
    <x v="0"/>
    <x v="2"/>
    <x v="0"/>
    <x v="23"/>
    <x v="0"/>
  </r>
  <r>
    <n v="17531"/>
    <x v="0"/>
    <x v="1"/>
    <n v="60000"/>
    <n v="2"/>
    <x v="2"/>
    <s v="Professional"/>
    <s v="No"/>
    <n v="2"/>
    <x v="2"/>
    <x v="2"/>
    <x v="0"/>
    <x v="5"/>
    <x v="0"/>
  </r>
  <r>
    <n v="12964"/>
    <x v="0"/>
    <x v="1"/>
    <n v="70000"/>
    <n v="1"/>
    <x v="1"/>
    <s v="Skilled Manual"/>
    <s v="Yes"/>
    <n v="1"/>
    <x v="0"/>
    <x v="2"/>
    <x v="0"/>
    <x v="20"/>
    <x v="0"/>
  </r>
  <r>
    <n v="19133"/>
    <x v="1"/>
    <x v="1"/>
    <n v="50000"/>
    <n v="2"/>
    <x v="0"/>
    <s v="Skilled Manual"/>
    <s v="Yes"/>
    <n v="1"/>
    <x v="1"/>
    <x v="2"/>
    <x v="0"/>
    <x v="13"/>
    <x v="1"/>
  </r>
  <r>
    <n v="24643"/>
    <x v="1"/>
    <x v="0"/>
    <n v="60000"/>
    <n v="4"/>
    <x v="0"/>
    <s v="Management"/>
    <s v="Yes"/>
    <n v="2"/>
    <x v="4"/>
    <x v="2"/>
    <x v="1"/>
    <x v="18"/>
    <x v="0"/>
  </r>
  <r>
    <n v="21599"/>
    <x v="0"/>
    <x v="0"/>
    <n v="60000"/>
    <n v="1"/>
    <x v="4"/>
    <s v="Professional"/>
    <s v="Yes"/>
    <n v="0"/>
    <x v="1"/>
    <x v="2"/>
    <x v="0"/>
    <x v="4"/>
    <x v="1"/>
  </r>
  <r>
    <n v="22976"/>
    <x v="1"/>
    <x v="1"/>
    <n v="40000"/>
    <n v="0"/>
    <x v="2"/>
    <s v="Skilled Manual"/>
    <s v="No"/>
    <n v="2"/>
    <x v="0"/>
    <x v="2"/>
    <x v="2"/>
    <x v="26"/>
    <x v="1"/>
  </r>
  <r>
    <n v="27637"/>
    <x v="1"/>
    <x v="0"/>
    <n v="100000"/>
    <n v="1"/>
    <x v="1"/>
    <s v="Professional"/>
    <s v="No"/>
    <n v="3"/>
    <x v="3"/>
    <x v="2"/>
    <x v="0"/>
    <x v="20"/>
    <x v="0"/>
  </r>
  <r>
    <n v="11890"/>
    <x v="0"/>
    <x v="0"/>
    <n v="70000"/>
    <n v="5"/>
    <x v="4"/>
    <s v="Professional"/>
    <s v="Yes"/>
    <n v="1"/>
    <x v="0"/>
    <x v="2"/>
    <x v="0"/>
    <x v="15"/>
    <x v="0"/>
  </r>
  <r>
    <n v="28580"/>
    <x v="0"/>
    <x v="0"/>
    <n v="80000"/>
    <n v="0"/>
    <x v="4"/>
    <s v="Skilled Manual"/>
    <s v="Yes"/>
    <n v="0"/>
    <x v="3"/>
    <x v="2"/>
    <x v="0"/>
    <x v="8"/>
    <x v="1"/>
  </r>
  <r>
    <n v="14443"/>
    <x v="0"/>
    <x v="1"/>
    <n v="130000"/>
    <n v="1"/>
    <x v="4"/>
    <s v="Management"/>
    <s v="Yes"/>
    <n v="4"/>
    <x v="0"/>
    <x v="2"/>
    <x v="0"/>
    <x v="8"/>
    <x v="0"/>
  </r>
  <r>
    <n v="17864"/>
    <x v="0"/>
    <x v="0"/>
    <n v="60000"/>
    <n v="1"/>
    <x v="1"/>
    <s v="Skilled Manual"/>
    <s v="Yes"/>
    <n v="1"/>
    <x v="1"/>
    <x v="2"/>
    <x v="0"/>
    <x v="30"/>
    <x v="1"/>
  </r>
  <r>
    <n v="20505"/>
    <x v="0"/>
    <x v="0"/>
    <n v="40000"/>
    <n v="5"/>
    <x v="2"/>
    <s v="Professional"/>
    <s v="No"/>
    <n v="2"/>
    <x v="4"/>
    <x v="2"/>
    <x v="1"/>
    <x v="33"/>
    <x v="0"/>
  </r>
  <r>
    <n v="14592"/>
    <x v="0"/>
    <x v="0"/>
    <n v="60000"/>
    <n v="0"/>
    <x v="4"/>
    <s v="Professional"/>
    <s v="Yes"/>
    <n v="0"/>
    <x v="0"/>
    <x v="2"/>
    <x v="0"/>
    <x v="8"/>
    <x v="0"/>
  </r>
  <r>
    <n v="22227"/>
    <x v="0"/>
    <x v="0"/>
    <n v="60000"/>
    <n v="2"/>
    <x v="2"/>
    <s v="Professional"/>
    <s v="Yes"/>
    <n v="2"/>
    <x v="2"/>
    <x v="2"/>
    <x v="0"/>
    <x v="5"/>
    <x v="0"/>
  </r>
  <r>
    <n v="21471"/>
    <x v="0"/>
    <x v="1"/>
    <n v="70000"/>
    <n v="2"/>
    <x v="1"/>
    <s v="Professional"/>
    <s v="Yes"/>
    <n v="1"/>
    <x v="4"/>
    <x v="2"/>
    <x v="1"/>
    <x v="14"/>
    <x v="0"/>
  </r>
  <r>
    <n v="22252"/>
    <x v="1"/>
    <x v="0"/>
    <n v="60000"/>
    <n v="1"/>
    <x v="4"/>
    <s v="Professional"/>
    <s v="Yes"/>
    <n v="0"/>
    <x v="1"/>
    <x v="2"/>
    <x v="0"/>
    <x v="4"/>
    <x v="1"/>
  </r>
  <r>
    <n v="21260"/>
    <x v="1"/>
    <x v="0"/>
    <n v="40000"/>
    <n v="0"/>
    <x v="2"/>
    <s v="Skilled Manual"/>
    <s v="Yes"/>
    <n v="2"/>
    <x v="2"/>
    <x v="2"/>
    <x v="2"/>
    <x v="25"/>
    <x v="0"/>
  </r>
  <r>
    <n v="11817"/>
    <x v="1"/>
    <x v="0"/>
    <n v="70000"/>
    <n v="4"/>
    <x v="4"/>
    <s v="Professional"/>
    <s v="Yes"/>
    <n v="0"/>
    <x v="1"/>
    <x v="2"/>
    <x v="0"/>
    <x v="11"/>
    <x v="1"/>
  </r>
  <r>
    <n v="19223"/>
    <x v="0"/>
    <x v="0"/>
    <n v="30000"/>
    <n v="2"/>
    <x v="2"/>
    <s v="Skilled Manual"/>
    <s v="Yes"/>
    <n v="2"/>
    <x v="3"/>
    <x v="2"/>
    <x v="0"/>
    <x v="28"/>
    <x v="0"/>
  </r>
  <r>
    <n v="18517"/>
    <x v="0"/>
    <x v="1"/>
    <n v="100000"/>
    <n v="3"/>
    <x v="0"/>
    <s v="Management"/>
    <s v="Yes"/>
    <n v="4"/>
    <x v="0"/>
    <x v="2"/>
    <x v="0"/>
    <x v="3"/>
    <x v="0"/>
  </r>
  <r>
    <n v="21717"/>
    <x v="0"/>
    <x v="1"/>
    <n v="40000"/>
    <n v="2"/>
    <x v="1"/>
    <s v="Clerical"/>
    <s v="Yes"/>
    <n v="1"/>
    <x v="0"/>
    <x v="2"/>
    <x v="0"/>
    <x v="15"/>
    <x v="0"/>
  </r>
  <r>
    <n v="13760"/>
    <x v="0"/>
    <x v="1"/>
    <n v="60000"/>
    <n v="4"/>
    <x v="4"/>
    <s v="Skilled Manual"/>
    <s v="No"/>
    <n v="0"/>
    <x v="0"/>
    <x v="2"/>
    <x v="0"/>
    <x v="15"/>
    <x v="0"/>
  </r>
  <r>
    <n v="18145"/>
    <x v="0"/>
    <x v="1"/>
    <n v="80000"/>
    <n v="5"/>
    <x v="0"/>
    <s v="Management"/>
    <s v="No"/>
    <n v="2"/>
    <x v="1"/>
    <x v="0"/>
    <x v="1"/>
    <x v="24"/>
    <x v="0"/>
  </r>
  <r>
    <n v="21770"/>
    <x v="0"/>
    <x v="1"/>
    <n v="60000"/>
    <n v="4"/>
    <x v="0"/>
    <s v="Management"/>
    <s v="Yes"/>
    <n v="2"/>
    <x v="4"/>
    <x v="2"/>
    <x v="1"/>
    <x v="2"/>
    <x v="0"/>
  </r>
  <r>
    <n v="11165"/>
    <x v="0"/>
    <x v="0"/>
    <n v="60000"/>
    <n v="0"/>
    <x v="1"/>
    <s v="Skilled Manual"/>
    <s v="No"/>
    <n v="1"/>
    <x v="3"/>
    <x v="2"/>
    <x v="0"/>
    <x v="6"/>
    <x v="0"/>
  </r>
  <r>
    <n v="16377"/>
    <x v="1"/>
    <x v="0"/>
    <n v="80000"/>
    <n v="4"/>
    <x v="4"/>
    <s v="Skilled Manual"/>
    <s v="No"/>
    <n v="0"/>
    <x v="0"/>
    <x v="2"/>
    <x v="0"/>
    <x v="15"/>
    <x v="0"/>
  </r>
  <r>
    <n v="26248"/>
    <x v="0"/>
    <x v="1"/>
    <n v="20000"/>
    <n v="3"/>
    <x v="3"/>
    <s v="Clerical"/>
    <s v="No"/>
    <n v="2"/>
    <x v="0"/>
    <x v="2"/>
    <x v="0"/>
    <x v="31"/>
    <x v="0"/>
  </r>
  <r>
    <n v="23461"/>
    <x v="0"/>
    <x v="0"/>
    <n v="90000"/>
    <n v="5"/>
    <x v="1"/>
    <s v="Professional"/>
    <s v="Yes"/>
    <n v="3"/>
    <x v="1"/>
    <x v="2"/>
    <x v="0"/>
    <x v="8"/>
    <x v="0"/>
  </r>
  <r>
    <n v="29133"/>
    <x v="1"/>
    <x v="0"/>
    <n v="60000"/>
    <n v="4"/>
    <x v="0"/>
    <s v="Skilled Manual"/>
    <s v="No"/>
    <n v="2"/>
    <x v="0"/>
    <x v="2"/>
    <x v="0"/>
    <x v="0"/>
    <x v="0"/>
  </r>
  <r>
    <n v="27673"/>
    <x v="1"/>
    <x v="0"/>
    <n v="60000"/>
    <n v="3"/>
    <x v="4"/>
    <s v="Management"/>
    <s v="Yes"/>
    <n v="2"/>
    <x v="2"/>
    <x v="2"/>
    <x v="0"/>
    <x v="39"/>
    <x v="1"/>
  </r>
  <r>
    <n v="12774"/>
    <x v="0"/>
    <x v="0"/>
    <n v="40000"/>
    <n v="1"/>
    <x v="1"/>
    <s v="Clerical"/>
    <s v="Yes"/>
    <n v="1"/>
    <x v="3"/>
    <x v="2"/>
    <x v="0"/>
    <x v="36"/>
    <x v="1"/>
  </r>
  <r>
    <n v="18910"/>
    <x v="1"/>
    <x v="1"/>
    <n v="30000"/>
    <n v="0"/>
    <x v="1"/>
    <s v="Skilled Manual"/>
    <s v="Yes"/>
    <n v="2"/>
    <x v="2"/>
    <x v="2"/>
    <x v="2"/>
    <x v="25"/>
    <x v="0"/>
  </r>
  <r>
    <n v="11699"/>
    <x v="1"/>
    <x v="1"/>
    <n v="60000"/>
    <n v="0"/>
    <x v="0"/>
    <s v="Skilled Manual"/>
    <s v="No"/>
    <n v="2"/>
    <x v="0"/>
    <x v="2"/>
    <x v="2"/>
    <x v="25"/>
    <x v="0"/>
  </r>
  <r>
    <n v="16725"/>
    <x v="0"/>
    <x v="1"/>
    <n v="30000"/>
    <n v="0"/>
    <x v="2"/>
    <s v="Skilled Manual"/>
    <s v="Yes"/>
    <n v="2"/>
    <x v="2"/>
    <x v="2"/>
    <x v="2"/>
    <x v="22"/>
    <x v="0"/>
  </r>
  <r>
    <n v="28269"/>
    <x v="1"/>
    <x v="0"/>
    <n v="130000"/>
    <n v="1"/>
    <x v="0"/>
    <s v="Management"/>
    <s v="No"/>
    <n v="1"/>
    <x v="1"/>
    <x v="2"/>
    <x v="0"/>
    <x v="12"/>
    <x v="0"/>
  </r>
  <r>
    <n v="23144"/>
    <x v="0"/>
    <x v="1"/>
    <n v="50000"/>
    <n v="1"/>
    <x v="0"/>
    <s v="Skilled Manual"/>
    <s v="Yes"/>
    <n v="0"/>
    <x v="0"/>
    <x v="2"/>
    <x v="0"/>
    <x v="17"/>
    <x v="1"/>
  </r>
  <r>
    <n v="23376"/>
    <x v="0"/>
    <x v="1"/>
    <n v="70000"/>
    <n v="1"/>
    <x v="0"/>
    <s v="Professional"/>
    <s v="Yes"/>
    <n v="1"/>
    <x v="1"/>
    <x v="2"/>
    <x v="0"/>
    <x v="20"/>
    <x v="1"/>
  </r>
  <r>
    <n v="25970"/>
    <x v="1"/>
    <x v="0"/>
    <n v="60000"/>
    <n v="4"/>
    <x v="0"/>
    <s v="Skilled Manual"/>
    <s v="No"/>
    <n v="2"/>
    <x v="0"/>
    <x v="2"/>
    <x v="0"/>
    <x v="3"/>
    <x v="1"/>
  </r>
  <r>
    <n v="28068"/>
    <x v="1"/>
    <x v="0"/>
    <n v="80000"/>
    <n v="3"/>
    <x v="4"/>
    <s v="Professional"/>
    <s v="No"/>
    <n v="0"/>
    <x v="0"/>
    <x v="2"/>
    <x v="0"/>
    <x v="4"/>
    <x v="1"/>
  </r>
  <r>
    <n v="18390"/>
    <x v="0"/>
    <x v="1"/>
    <n v="80000"/>
    <n v="5"/>
    <x v="1"/>
    <s v="Professional"/>
    <s v="Yes"/>
    <n v="2"/>
    <x v="0"/>
    <x v="2"/>
    <x v="0"/>
    <x v="20"/>
    <x v="0"/>
  </r>
  <r>
    <n v="29112"/>
    <x v="1"/>
    <x v="1"/>
    <n v="60000"/>
    <n v="0"/>
    <x v="1"/>
    <s v="Professional"/>
    <s v="No"/>
    <n v="2"/>
    <x v="3"/>
    <x v="2"/>
    <x v="2"/>
    <x v="25"/>
    <x v="0"/>
  </r>
  <r>
    <n v="14090"/>
    <x v="0"/>
    <x v="0"/>
    <n v="30000"/>
    <n v="0"/>
    <x v="3"/>
    <s v="Clerical"/>
    <s v="No"/>
    <n v="2"/>
    <x v="0"/>
    <x v="2"/>
    <x v="2"/>
    <x v="26"/>
    <x v="0"/>
  </r>
  <r>
    <n v="27040"/>
    <x v="0"/>
    <x v="1"/>
    <n v="20000"/>
    <n v="2"/>
    <x v="3"/>
    <s v="Clerical"/>
    <s v="Yes"/>
    <n v="2"/>
    <x v="3"/>
    <x v="2"/>
    <x v="0"/>
    <x v="38"/>
    <x v="0"/>
  </r>
  <r>
    <n v="23479"/>
    <x v="1"/>
    <x v="1"/>
    <n v="90000"/>
    <n v="0"/>
    <x v="1"/>
    <s v="Professional"/>
    <s v="No"/>
    <n v="2"/>
    <x v="0"/>
    <x v="2"/>
    <x v="0"/>
    <x v="1"/>
    <x v="1"/>
  </r>
  <r>
    <n v="16795"/>
    <x v="0"/>
    <x v="0"/>
    <n v="70000"/>
    <n v="4"/>
    <x v="0"/>
    <s v="Management"/>
    <s v="Yes"/>
    <n v="1"/>
    <x v="3"/>
    <x v="2"/>
    <x v="1"/>
    <x v="14"/>
    <x v="0"/>
  </r>
  <r>
    <n v="22014"/>
    <x v="1"/>
    <x v="1"/>
    <n v="30000"/>
    <n v="0"/>
    <x v="2"/>
    <s v="Skilled Manual"/>
    <s v="Yes"/>
    <n v="2"/>
    <x v="2"/>
    <x v="2"/>
    <x v="2"/>
    <x v="22"/>
    <x v="0"/>
  </r>
  <r>
    <n v="13314"/>
    <x v="0"/>
    <x v="1"/>
    <n v="120000"/>
    <n v="1"/>
    <x v="2"/>
    <s v="Professional"/>
    <s v="Yes"/>
    <n v="4"/>
    <x v="2"/>
    <x v="2"/>
    <x v="0"/>
    <x v="30"/>
    <x v="1"/>
  </r>
  <r>
    <n v="11619"/>
    <x v="1"/>
    <x v="0"/>
    <n v="50000"/>
    <n v="0"/>
    <x v="4"/>
    <s v="Skilled Manual"/>
    <s v="Yes"/>
    <n v="0"/>
    <x v="3"/>
    <x v="2"/>
    <x v="0"/>
    <x v="6"/>
    <x v="0"/>
  </r>
  <r>
    <n v="29132"/>
    <x v="1"/>
    <x v="0"/>
    <n v="40000"/>
    <n v="0"/>
    <x v="0"/>
    <s v="Professional"/>
    <s v="Yes"/>
    <n v="1"/>
    <x v="1"/>
    <x v="2"/>
    <x v="0"/>
    <x v="0"/>
    <x v="1"/>
  </r>
  <r>
    <n v="11199"/>
    <x v="0"/>
    <x v="0"/>
    <n v="70000"/>
    <n v="4"/>
    <x v="0"/>
    <s v="Management"/>
    <s v="Yes"/>
    <n v="1"/>
    <x v="4"/>
    <x v="2"/>
    <x v="1"/>
    <x v="14"/>
    <x v="0"/>
  </r>
  <r>
    <n v="20296"/>
    <x v="1"/>
    <x v="0"/>
    <n v="60000"/>
    <n v="0"/>
    <x v="1"/>
    <s v="Skilled Manual"/>
    <s v="No"/>
    <n v="1"/>
    <x v="3"/>
    <x v="2"/>
    <x v="0"/>
    <x v="6"/>
    <x v="1"/>
  </r>
  <r>
    <n v="17546"/>
    <x v="0"/>
    <x v="0"/>
    <n v="70000"/>
    <n v="1"/>
    <x v="1"/>
    <s v="Skilled Manual"/>
    <s v="Yes"/>
    <n v="1"/>
    <x v="0"/>
    <x v="2"/>
    <x v="0"/>
    <x v="20"/>
    <x v="1"/>
  </r>
  <r>
    <n v="18069"/>
    <x v="0"/>
    <x v="1"/>
    <n v="70000"/>
    <n v="5"/>
    <x v="0"/>
    <s v="Management"/>
    <s v="Yes"/>
    <n v="4"/>
    <x v="4"/>
    <x v="2"/>
    <x v="1"/>
    <x v="2"/>
    <x v="0"/>
  </r>
  <r>
    <n v="23712"/>
    <x v="1"/>
    <x v="0"/>
    <n v="70000"/>
    <n v="2"/>
    <x v="0"/>
    <s v="Management"/>
    <s v="Yes"/>
    <n v="1"/>
    <x v="4"/>
    <x v="2"/>
    <x v="1"/>
    <x v="14"/>
    <x v="0"/>
  </r>
  <r>
    <n v="23358"/>
    <x v="0"/>
    <x v="1"/>
    <n v="60000"/>
    <n v="0"/>
    <x v="2"/>
    <s v="Professional"/>
    <s v="Yes"/>
    <n v="2"/>
    <x v="2"/>
    <x v="2"/>
    <x v="0"/>
    <x v="21"/>
    <x v="1"/>
  </r>
  <r>
    <n v="20518"/>
    <x v="0"/>
    <x v="0"/>
    <n v="70000"/>
    <n v="2"/>
    <x v="1"/>
    <s v="Professional"/>
    <s v="Yes"/>
    <n v="1"/>
    <x v="4"/>
    <x v="2"/>
    <x v="1"/>
    <x v="7"/>
    <x v="0"/>
  </r>
  <r>
    <n v="28026"/>
    <x v="0"/>
    <x v="0"/>
    <n v="40000"/>
    <n v="2"/>
    <x v="2"/>
    <s v="Professional"/>
    <s v="No"/>
    <n v="2"/>
    <x v="1"/>
    <x v="2"/>
    <x v="1"/>
    <x v="14"/>
    <x v="0"/>
  </r>
  <r>
    <n v="11669"/>
    <x v="1"/>
    <x v="0"/>
    <n v="70000"/>
    <n v="2"/>
    <x v="0"/>
    <s v="Skilled Manual"/>
    <s v="Yes"/>
    <n v="1"/>
    <x v="1"/>
    <x v="2"/>
    <x v="0"/>
    <x v="13"/>
    <x v="0"/>
  </r>
  <r>
    <n v="16020"/>
    <x v="0"/>
    <x v="1"/>
    <n v="40000"/>
    <n v="0"/>
    <x v="2"/>
    <s v="Skilled Manual"/>
    <s v="Yes"/>
    <n v="2"/>
    <x v="2"/>
    <x v="2"/>
    <x v="2"/>
    <x v="26"/>
    <x v="1"/>
  </r>
  <r>
    <n v="27090"/>
    <x v="0"/>
    <x v="0"/>
    <n v="60000"/>
    <n v="1"/>
    <x v="4"/>
    <s v="Professional"/>
    <s v="Yes"/>
    <n v="0"/>
    <x v="1"/>
    <x v="2"/>
    <x v="0"/>
    <x v="34"/>
    <x v="1"/>
  </r>
  <r>
    <n v="27198"/>
    <x v="1"/>
    <x v="0"/>
    <n v="80000"/>
    <n v="0"/>
    <x v="4"/>
    <s v="Skilled Manual"/>
    <s v="No"/>
    <n v="0"/>
    <x v="0"/>
    <x v="2"/>
    <x v="0"/>
    <x v="8"/>
    <x v="0"/>
  </r>
  <r>
    <n v="19661"/>
    <x v="1"/>
    <x v="1"/>
    <n v="90000"/>
    <n v="4"/>
    <x v="0"/>
    <s v="Management"/>
    <s v="Yes"/>
    <n v="1"/>
    <x v="3"/>
    <x v="2"/>
    <x v="0"/>
    <x v="13"/>
    <x v="1"/>
  </r>
  <r>
    <n v="26327"/>
    <x v="0"/>
    <x v="1"/>
    <n v="70000"/>
    <n v="4"/>
    <x v="4"/>
    <s v="Professional"/>
    <s v="Yes"/>
    <n v="0"/>
    <x v="1"/>
    <x v="2"/>
    <x v="0"/>
    <x v="4"/>
    <x v="1"/>
  </r>
  <r>
    <n v="26341"/>
    <x v="0"/>
    <x v="0"/>
    <n v="70000"/>
    <n v="5"/>
    <x v="4"/>
    <s v="Professional"/>
    <s v="Yes"/>
    <n v="2"/>
    <x v="0"/>
    <x v="2"/>
    <x v="0"/>
    <x v="34"/>
    <x v="0"/>
  </r>
  <r>
    <n v="24958"/>
    <x v="1"/>
    <x v="0"/>
    <n v="40000"/>
    <n v="5"/>
    <x v="2"/>
    <s v="Professional"/>
    <s v="No"/>
    <n v="3"/>
    <x v="1"/>
    <x v="2"/>
    <x v="1"/>
    <x v="2"/>
    <x v="1"/>
  </r>
  <r>
    <n v="13287"/>
    <x v="1"/>
    <x v="1"/>
    <n v="110000"/>
    <n v="4"/>
    <x v="0"/>
    <s v="Management"/>
    <s v="Yes"/>
    <n v="4"/>
    <x v="2"/>
    <x v="2"/>
    <x v="0"/>
    <x v="0"/>
    <x v="1"/>
  </r>
  <r>
    <n v="14493"/>
    <x v="1"/>
    <x v="0"/>
    <n v="70000"/>
    <n v="3"/>
    <x v="4"/>
    <s v="Management"/>
    <s v="No"/>
    <n v="2"/>
    <x v="3"/>
    <x v="2"/>
    <x v="0"/>
    <x v="39"/>
    <x v="0"/>
  </r>
  <r>
    <n v="26678"/>
    <x v="1"/>
    <x v="0"/>
    <n v="80000"/>
    <n v="2"/>
    <x v="3"/>
    <s v="Skilled Manual"/>
    <s v="Yes"/>
    <n v="2"/>
    <x v="2"/>
    <x v="2"/>
    <x v="0"/>
    <x v="38"/>
    <x v="0"/>
  </r>
  <r>
    <n v="23275"/>
    <x v="0"/>
    <x v="1"/>
    <n v="30000"/>
    <n v="2"/>
    <x v="2"/>
    <s v="Skilled Manual"/>
    <s v="Yes"/>
    <n v="2"/>
    <x v="3"/>
    <x v="2"/>
    <x v="0"/>
    <x v="38"/>
    <x v="0"/>
  </r>
  <r>
    <n v="11270"/>
    <x v="0"/>
    <x v="1"/>
    <n v="130000"/>
    <n v="2"/>
    <x v="4"/>
    <s v="Management"/>
    <s v="Yes"/>
    <n v="3"/>
    <x v="0"/>
    <x v="2"/>
    <x v="0"/>
    <x v="0"/>
    <x v="1"/>
  </r>
  <r>
    <n v="20084"/>
    <x v="0"/>
    <x v="1"/>
    <n v="20000"/>
    <n v="2"/>
    <x v="2"/>
    <s v="Manual"/>
    <s v="No"/>
    <n v="2"/>
    <x v="0"/>
    <x v="2"/>
    <x v="0"/>
    <x v="39"/>
    <x v="0"/>
  </r>
  <r>
    <n v="16144"/>
    <x v="0"/>
    <x v="1"/>
    <n v="70000"/>
    <n v="1"/>
    <x v="4"/>
    <s v="Professional"/>
    <s v="Yes"/>
    <n v="1"/>
    <x v="0"/>
    <x v="2"/>
    <x v="0"/>
    <x v="30"/>
    <x v="1"/>
  </r>
  <r>
    <n v="27731"/>
    <x v="0"/>
    <x v="1"/>
    <n v="40000"/>
    <n v="0"/>
    <x v="2"/>
    <s v="Skilled Manual"/>
    <s v="Yes"/>
    <n v="2"/>
    <x v="2"/>
    <x v="2"/>
    <x v="2"/>
    <x v="40"/>
    <x v="0"/>
  </r>
  <r>
    <n v="11886"/>
    <x v="0"/>
    <x v="0"/>
    <n v="60000"/>
    <n v="3"/>
    <x v="0"/>
    <s v="Professional"/>
    <s v="Yes"/>
    <n v="1"/>
    <x v="0"/>
    <x v="2"/>
    <x v="0"/>
    <x v="28"/>
    <x v="1"/>
  </r>
  <r>
    <n v="24324"/>
    <x v="1"/>
    <x v="0"/>
    <n v="60000"/>
    <n v="4"/>
    <x v="0"/>
    <s v="Skilled Manual"/>
    <s v="Yes"/>
    <n v="2"/>
    <x v="1"/>
    <x v="2"/>
    <x v="0"/>
    <x v="3"/>
    <x v="1"/>
  </r>
  <r>
    <n v="22220"/>
    <x v="0"/>
    <x v="1"/>
    <n v="60000"/>
    <n v="2"/>
    <x v="2"/>
    <s v="Professional"/>
    <s v="No"/>
    <n v="2"/>
    <x v="3"/>
    <x v="2"/>
    <x v="0"/>
    <x v="38"/>
    <x v="1"/>
  </r>
  <r>
    <n v="26625"/>
    <x v="1"/>
    <x v="0"/>
    <n v="60000"/>
    <n v="0"/>
    <x v="4"/>
    <s v="Professional"/>
    <s v="Yes"/>
    <n v="1"/>
    <x v="1"/>
    <x v="2"/>
    <x v="0"/>
    <x v="13"/>
    <x v="1"/>
  </r>
  <r>
    <n v="23027"/>
    <x v="1"/>
    <x v="1"/>
    <n v="130000"/>
    <n v="1"/>
    <x v="0"/>
    <s v="Management"/>
    <s v="No"/>
    <n v="4"/>
    <x v="0"/>
    <x v="2"/>
    <x v="0"/>
    <x v="20"/>
    <x v="0"/>
  </r>
  <r>
    <n v="16867"/>
    <x v="1"/>
    <x v="0"/>
    <n v="130000"/>
    <n v="1"/>
    <x v="0"/>
    <s v="Management"/>
    <s v="No"/>
    <n v="3"/>
    <x v="0"/>
    <x v="2"/>
    <x v="0"/>
    <x v="12"/>
    <x v="1"/>
  </r>
  <r>
    <n v="14514"/>
    <x v="1"/>
    <x v="0"/>
    <n v="30000"/>
    <n v="0"/>
    <x v="1"/>
    <s v="Skilled Manual"/>
    <s v="Yes"/>
    <n v="1"/>
    <x v="2"/>
    <x v="2"/>
    <x v="2"/>
    <x v="22"/>
    <x v="0"/>
  </r>
  <r>
    <n v="19634"/>
    <x v="0"/>
    <x v="1"/>
    <n v="40000"/>
    <n v="0"/>
    <x v="2"/>
    <s v="Skilled Manual"/>
    <s v="Yes"/>
    <n v="1"/>
    <x v="2"/>
    <x v="2"/>
    <x v="0"/>
    <x v="23"/>
    <x v="0"/>
  </r>
  <r>
    <n v="18504"/>
    <x v="0"/>
    <x v="1"/>
    <n v="70000"/>
    <n v="2"/>
    <x v="3"/>
    <s v="Skilled Manual"/>
    <s v="No"/>
    <n v="2"/>
    <x v="3"/>
    <x v="2"/>
    <x v="0"/>
    <x v="38"/>
    <x v="0"/>
  </r>
  <r>
    <n v="28799"/>
    <x v="1"/>
    <x v="0"/>
    <n v="40000"/>
    <n v="2"/>
    <x v="1"/>
    <s v="Clerical"/>
    <s v="No"/>
    <n v="1"/>
    <x v="3"/>
    <x v="2"/>
    <x v="0"/>
    <x v="15"/>
    <x v="1"/>
  </r>
  <r>
    <n v="11225"/>
    <x v="0"/>
    <x v="0"/>
    <n v="60000"/>
    <n v="2"/>
    <x v="1"/>
    <s v="Professional"/>
    <s v="Yes"/>
    <n v="1"/>
    <x v="4"/>
    <x v="2"/>
    <x v="1"/>
    <x v="10"/>
    <x v="0"/>
  </r>
  <r>
    <n v="17657"/>
    <x v="0"/>
    <x v="1"/>
    <n v="40000"/>
    <n v="4"/>
    <x v="1"/>
    <s v="Clerical"/>
    <s v="No"/>
    <n v="0"/>
    <x v="0"/>
    <x v="2"/>
    <x v="2"/>
    <x v="25"/>
    <x v="0"/>
  </r>
  <r>
    <n v="14913"/>
    <x v="0"/>
    <x v="0"/>
    <n v="40000"/>
    <n v="1"/>
    <x v="1"/>
    <s v="Clerical"/>
    <s v="Yes"/>
    <n v="1"/>
    <x v="3"/>
    <x v="2"/>
    <x v="0"/>
    <x v="28"/>
    <x v="1"/>
  </r>
  <r>
    <n v="14077"/>
    <x v="1"/>
    <x v="1"/>
    <n v="30000"/>
    <n v="0"/>
    <x v="2"/>
    <s v="Skilled Manual"/>
    <s v="Yes"/>
    <n v="2"/>
    <x v="2"/>
    <x v="2"/>
    <x v="2"/>
    <x v="25"/>
    <x v="0"/>
  </r>
  <r>
    <n v="13296"/>
    <x v="0"/>
    <x v="1"/>
    <n v="110000"/>
    <n v="1"/>
    <x v="0"/>
    <s v="Management"/>
    <s v="Yes"/>
    <n v="3"/>
    <x v="2"/>
    <x v="2"/>
    <x v="0"/>
    <x v="12"/>
    <x v="0"/>
  </r>
  <r>
    <n v="20535"/>
    <x v="0"/>
    <x v="0"/>
    <n v="70000"/>
    <n v="4"/>
    <x v="1"/>
    <s v="Professional"/>
    <s v="Yes"/>
    <n v="1"/>
    <x v="4"/>
    <x v="2"/>
    <x v="1"/>
    <x v="16"/>
    <x v="0"/>
  </r>
  <r>
    <n v="12452"/>
    <x v="0"/>
    <x v="1"/>
    <n v="60000"/>
    <n v="4"/>
    <x v="4"/>
    <s v="Skilled Manual"/>
    <s v="Yes"/>
    <n v="0"/>
    <x v="3"/>
    <x v="2"/>
    <x v="0"/>
    <x v="15"/>
    <x v="1"/>
  </r>
  <r>
    <n v="28043"/>
    <x v="0"/>
    <x v="0"/>
    <n v="60000"/>
    <n v="2"/>
    <x v="0"/>
    <s v="Management"/>
    <s v="Yes"/>
    <n v="0"/>
    <x v="4"/>
    <x v="2"/>
    <x v="1"/>
    <x v="16"/>
    <x v="0"/>
  </r>
  <r>
    <n v="12957"/>
    <x v="1"/>
    <x v="0"/>
    <n v="70000"/>
    <n v="1"/>
    <x v="0"/>
    <s v="Professional"/>
    <s v="No"/>
    <n v="1"/>
    <x v="0"/>
    <x v="2"/>
    <x v="0"/>
    <x v="20"/>
    <x v="0"/>
  </r>
  <r>
    <n v="15412"/>
    <x v="0"/>
    <x v="1"/>
    <n v="130000"/>
    <n v="2"/>
    <x v="4"/>
    <s v="Management"/>
    <s v="Yes"/>
    <n v="3"/>
    <x v="1"/>
    <x v="2"/>
    <x v="1"/>
    <x v="45"/>
    <x v="0"/>
  </r>
  <r>
    <n v="20514"/>
    <x v="0"/>
    <x v="0"/>
    <n v="70000"/>
    <n v="2"/>
    <x v="1"/>
    <s v="Professional"/>
    <s v="Yes"/>
    <n v="1"/>
    <x v="1"/>
    <x v="2"/>
    <x v="1"/>
    <x v="14"/>
    <x v="0"/>
  </r>
  <r>
    <n v="20758"/>
    <x v="0"/>
    <x v="1"/>
    <n v="30000"/>
    <n v="2"/>
    <x v="2"/>
    <s v="Skilled Manual"/>
    <s v="Yes"/>
    <n v="2"/>
    <x v="3"/>
    <x v="2"/>
    <x v="0"/>
    <x v="5"/>
    <x v="0"/>
  </r>
  <r>
    <n v="11801"/>
    <x v="0"/>
    <x v="1"/>
    <n v="60000"/>
    <n v="1"/>
    <x v="4"/>
    <s v="Professional"/>
    <s v="Yes"/>
    <n v="0"/>
    <x v="1"/>
    <x v="2"/>
    <x v="0"/>
    <x v="4"/>
    <x v="0"/>
  </r>
  <r>
    <n v="22211"/>
    <x v="0"/>
    <x v="1"/>
    <n v="60000"/>
    <n v="0"/>
    <x v="1"/>
    <s v="Professional"/>
    <s v="Yes"/>
    <n v="2"/>
    <x v="2"/>
    <x v="2"/>
    <x v="0"/>
    <x v="21"/>
    <x v="0"/>
  </r>
  <r>
    <n v="28087"/>
    <x v="1"/>
    <x v="0"/>
    <n v="40000"/>
    <n v="0"/>
    <x v="1"/>
    <s v="Skilled Manual"/>
    <s v="No"/>
    <n v="1"/>
    <x v="3"/>
    <x v="2"/>
    <x v="2"/>
    <x v="40"/>
    <x v="0"/>
  </r>
  <r>
    <n v="23668"/>
    <x v="0"/>
    <x v="0"/>
    <n v="40000"/>
    <n v="4"/>
    <x v="2"/>
    <s v="Professional"/>
    <s v="Yes"/>
    <n v="2"/>
    <x v="2"/>
    <x v="2"/>
    <x v="1"/>
    <x v="14"/>
    <x v="1"/>
  </r>
  <r>
    <n v="27441"/>
    <x v="0"/>
    <x v="1"/>
    <n v="60000"/>
    <n v="3"/>
    <x v="2"/>
    <s v="Professional"/>
    <s v="No"/>
    <n v="2"/>
    <x v="1"/>
    <x v="2"/>
    <x v="0"/>
    <x v="39"/>
    <x v="0"/>
  </r>
  <r>
    <n v="27261"/>
    <x v="0"/>
    <x v="1"/>
    <n v="40000"/>
    <n v="1"/>
    <x v="0"/>
    <s v="Skilled Manual"/>
    <s v="No"/>
    <n v="1"/>
    <x v="0"/>
    <x v="2"/>
    <x v="0"/>
    <x v="4"/>
    <x v="1"/>
  </r>
  <r>
    <n v="18649"/>
    <x v="1"/>
    <x v="1"/>
    <n v="30000"/>
    <n v="1"/>
    <x v="2"/>
    <s v="Clerical"/>
    <s v="Yes"/>
    <n v="2"/>
    <x v="3"/>
    <x v="2"/>
    <x v="0"/>
    <x v="36"/>
    <x v="1"/>
  </r>
  <r>
    <n v="21714"/>
    <x v="1"/>
    <x v="0"/>
    <n v="80000"/>
    <n v="5"/>
    <x v="4"/>
    <s v="Skilled Manual"/>
    <s v="No"/>
    <n v="0"/>
    <x v="0"/>
    <x v="2"/>
    <x v="0"/>
    <x v="15"/>
    <x v="0"/>
  </r>
  <r>
    <n v="23217"/>
    <x v="1"/>
    <x v="0"/>
    <n v="60000"/>
    <n v="3"/>
    <x v="4"/>
    <s v="Professional"/>
    <s v="Yes"/>
    <n v="0"/>
    <x v="1"/>
    <x v="2"/>
    <x v="0"/>
    <x v="1"/>
    <x v="1"/>
  </r>
  <r>
    <n v="23797"/>
    <x v="1"/>
    <x v="1"/>
    <n v="20000"/>
    <n v="3"/>
    <x v="3"/>
    <s v="Clerical"/>
    <s v="No"/>
    <n v="2"/>
    <x v="0"/>
    <x v="2"/>
    <x v="0"/>
    <x v="5"/>
    <x v="0"/>
  </r>
  <r>
    <n v="13216"/>
    <x v="0"/>
    <x v="0"/>
    <n v="60000"/>
    <n v="5"/>
    <x v="0"/>
    <s v="Management"/>
    <s v="Yes"/>
    <n v="3"/>
    <x v="4"/>
    <x v="2"/>
    <x v="1"/>
    <x v="14"/>
    <x v="0"/>
  </r>
  <r>
    <n v="20657"/>
    <x v="1"/>
    <x v="1"/>
    <n v="50000"/>
    <n v="2"/>
    <x v="0"/>
    <s v="Skilled Manual"/>
    <s v="Yes"/>
    <n v="0"/>
    <x v="1"/>
    <x v="2"/>
    <x v="0"/>
    <x v="34"/>
    <x v="1"/>
  </r>
  <r>
    <n v="12882"/>
    <x v="0"/>
    <x v="1"/>
    <n v="50000"/>
    <n v="1"/>
    <x v="4"/>
    <s v="Skilled Manual"/>
    <s v="Yes"/>
    <n v="0"/>
    <x v="0"/>
    <x v="2"/>
    <x v="0"/>
    <x v="6"/>
    <x v="1"/>
  </r>
  <r>
    <n v="25908"/>
    <x v="0"/>
    <x v="0"/>
    <n v="60000"/>
    <n v="0"/>
    <x v="1"/>
    <s v="Skilled Manual"/>
    <s v="No"/>
    <n v="1"/>
    <x v="3"/>
    <x v="2"/>
    <x v="2"/>
    <x v="40"/>
    <x v="0"/>
  </r>
  <r>
    <n v="16753"/>
    <x v="1"/>
    <x v="0"/>
    <n v="70000"/>
    <n v="0"/>
    <x v="1"/>
    <s v="Skilled Manual"/>
    <s v="Yes"/>
    <n v="2"/>
    <x v="2"/>
    <x v="2"/>
    <x v="0"/>
    <x v="17"/>
    <x v="1"/>
  </r>
  <r>
    <n v="14608"/>
    <x v="0"/>
    <x v="1"/>
    <n v="50000"/>
    <n v="4"/>
    <x v="0"/>
    <s v="Skilled Manual"/>
    <s v="Yes"/>
    <n v="3"/>
    <x v="4"/>
    <x v="2"/>
    <x v="0"/>
    <x v="0"/>
    <x v="0"/>
  </r>
  <r>
    <n v="24979"/>
    <x v="0"/>
    <x v="0"/>
    <n v="60000"/>
    <n v="2"/>
    <x v="1"/>
    <s v="Professional"/>
    <s v="Yes"/>
    <n v="2"/>
    <x v="1"/>
    <x v="2"/>
    <x v="1"/>
    <x v="42"/>
    <x v="1"/>
  </r>
  <r>
    <n v="13313"/>
    <x v="0"/>
    <x v="0"/>
    <n v="120000"/>
    <n v="1"/>
    <x v="2"/>
    <s v="Professional"/>
    <s v="No"/>
    <n v="4"/>
    <x v="1"/>
    <x v="2"/>
    <x v="0"/>
    <x v="12"/>
    <x v="0"/>
  </r>
  <r>
    <n v="18952"/>
    <x v="0"/>
    <x v="0"/>
    <n v="100000"/>
    <n v="4"/>
    <x v="0"/>
    <s v="Management"/>
    <s v="Yes"/>
    <n v="4"/>
    <x v="0"/>
    <x v="2"/>
    <x v="0"/>
    <x v="8"/>
    <x v="0"/>
  </r>
  <r>
    <n v="17699"/>
    <x v="0"/>
    <x v="1"/>
    <n v="60000"/>
    <n v="1"/>
    <x v="4"/>
    <s v="Skilled Manual"/>
    <s v="No"/>
    <n v="0"/>
    <x v="0"/>
    <x v="2"/>
    <x v="1"/>
    <x v="10"/>
    <x v="0"/>
  </r>
  <r>
    <n v="14657"/>
    <x v="0"/>
    <x v="1"/>
    <n v="80000"/>
    <n v="1"/>
    <x v="1"/>
    <s v="Skilled Manual"/>
    <s v="No"/>
    <n v="1"/>
    <x v="0"/>
    <x v="2"/>
    <x v="0"/>
    <x v="15"/>
    <x v="1"/>
  </r>
  <r>
    <n v="11540"/>
    <x v="1"/>
    <x v="1"/>
    <n v="60000"/>
    <n v="4"/>
    <x v="4"/>
    <s v="Skilled Manual"/>
    <s v="Yes"/>
    <n v="0"/>
    <x v="3"/>
    <x v="2"/>
    <x v="0"/>
    <x v="15"/>
    <x v="1"/>
  </r>
  <r>
    <n v="11783"/>
    <x v="0"/>
    <x v="0"/>
    <n v="60000"/>
    <n v="1"/>
    <x v="4"/>
    <s v="Skilled Manual"/>
    <s v="Yes"/>
    <n v="0"/>
    <x v="0"/>
    <x v="2"/>
    <x v="0"/>
    <x v="17"/>
    <x v="0"/>
  </r>
  <r>
    <n v="14602"/>
    <x v="0"/>
    <x v="0"/>
    <n v="80000"/>
    <n v="3"/>
    <x v="4"/>
    <s v="Professional"/>
    <s v="Yes"/>
    <n v="0"/>
    <x v="0"/>
    <x v="2"/>
    <x v="0"/>
    <x v="4"/>
    <x v="1"/>
  </r>
  <r>
    <n v="29030"/>
    <x v="0"/>
    <x v="1"/>
    <n v="70000"/>
    <n v="2"/>
    <x v="3"/>
    <s v="Skilled Manual"/>
    <s v="Yes"/>
    <n v="2"/>
    <x v="4"/>
    <x v="2"/>
    <x v="0"/>
    <x v="9"/>
    <x v="0"/>
  </r>
  <r>
    <n v="26490"/>
    <x v="1"/>
    <x v="1"/>
    <n v="70000"/>
    <n v="2"/>
    <x v="0"/>
    <s v="Management"/>
    <s v="No"/>
    <n v="1"/>
    <x v="1"/>
    <x v="2"/>
    <x v="1"/>
    <x v="14"/>
    <x v="1"/>
  </r>
  <r>
    <n v="13151"/>
    <x v="1"/>
    <x v="1"/>
    <n v="40000"/>
    <n v="0"/>
    <x v="2"/>
    <s v="Skilled Manual"/>
    <s v="Yes"/>
    <n v="2"/>
    <x v="2"/>
    <x v="2"/>
    <x v="2"/>
    <x v="40"/>
    <x v="0"/>
  </r>
  <r>
    <n v="17260"/>
    <x v="0"/>
    <x v="1"/>
    <n v="90000"/>
    <n v="5"/>
    <x v="1"/>
    <s v="Professional"/>
    <s v="Yes"/>
    <n v="3"/>
    <x v="0"/>
    <x v="2"/>
    <x v="0"/>
    <x v="3"/>
    <x v="0"/>
  </r>
  <r>
    <n v="15372"/>
    <x v="0"/>
    <x v="1"/>
    <n v="80000"/>
    <n v="3"/>
    <x v="1"/>
    <s v="Professional"/>
    <s v="No"/>
    <n v="2"/>
    <x v="1"/>
    <x v="2"/>
    <x v="0"/>
    <x v="5"/>
    <x v="1"/>
  </r>
  <r>
    <n v="18105"/>
    <x v="0"/>
    <x v="0"/>
    <n v="60000"/>
    <n v="2"/>
    <x v="1"/>
    <s v="Professional"/>
    <s v="Yes"/>
    <n v="1"/>
    <x v="4"/>
    <x v="2"/>
    <x v="1"/>
    <x v="10"/>
    <x v="0"/>
  </r>
  <r>
    <n v="19660"/>
    <x v="0"/>
    <x v="1"/>
    <n v="80000"/>
    <n v="4"/>
    <x v="0"/>
    <s v="Management"/>
    <s v="Yes"/>
    <n v="0"/>
    <x v="0"/>
    <x v="2"/>
    <x v="0"/>
    <x v="1"/>
    <x v="0"/>
  </r>
  <r>
    <n v="16112"/>
    <x v="1"/>
    <x v="1"/>
    <n v="70000"/>
    <n v="4"/>
    <x v="0"/>
    <s v="Professional"/>
    <s v="Yes"/>
    <n v="2"/>
    <x v="1"/>
    <x v="2"/>
    <x v="0"/>
    <x v="1"/>
    <x v="1"/>
  </r>
  <r>
    <n v="20698"/>
    <x v="0"/>
    <x v="1"/>
    <n v="60000"/>
    <n v="4"/>
    <x v="0"/>
    <s v="Skilled Manual"/>
    <s v="Yes"/>
    <n v="3"/>
    <x v="2"/>
    <x v="2"/>
    <x v="0"/>
    <x v="0"/>
    <x v="0"/>
  </r>
  <r>
    <n v="20076"/>
    <x v="1"/>
    <x v="0"/>
    <n v="10000"/>
    <n v="2"/>
    <x v="2"/>
    <s v="Manual"/>
    <s v="Yes"/>
    <n v="2"/>
    <x v="3"/>
    <x v="2"/>
    <x v="0"/>
    <x v="39"/>
    <x v="1"/>
  </r>
  <r>
    <n v="24496"/>
    <x v="1"/>
    <x v="0"/>
    <n v="40000"/>
    <n v="0"/>
    <x v="2"/>
    <s v="Skilled Manual"/>
    <s v="No"/>
    <n v="2"/>
    <x v="0"/>
    <x v="2"/>
    <x v="2"/>
    <x v="26"/>
    <x v="1"/>
  </r>
  <r>
    <n v="15468"/>
    <x v="0"/>
    <x v="0"/>
    <n v="50000"/>
    <n v="1"/>
    <x v="0"/>
    <s v="Skilled Manual"/>
    <s v="Yes"/>
    <n v="1"/>
    <x v="0"/>
    <x v="2"/>
    <x v="0"/>
    <x v="11"/>
    <x v="0"/>
  </r>
  <r>
    <n v="28031"/>
    <x v="1"/>
    <x v="0"/>
    <n v="70000"/>
    <n v="2"/>
    <x v="0"/>
    <s v="Management"/>
    <s v="No"/>
    <n v="1"/>
    <x v="1"/>
    <x v="2"/>
    <x v="1"/>
    <x v="14"/>
    <x v="1"/>
  </r>
  <r>
    <n v="26270"/>
    <x v="1"/>
    <x v="0"/>
    <n v="20000"/>
    <n v="2"/>
    <x v="3"/>
    <s v="Clerical"/>
    <s v="Yes"/>
    <n v="2"/>
    <x v="3"/>
    <x v="2"/>
    <x v="0"/>
    <x v="38"/>
    <x v="0"/>
  </r>
  <r>
    <n v="22221"/>
    <x v="0"/>
    <x v="1"/>
    <n v="60000"/>
    <n v="2"/>
    <x v="2"/>
    <s v="Professional"/>
    <s v="No"/>
    <n v="2"/>
    <x v="3"/>
    <x v="2"/>
    <x v="0"/>
    <x v="28"/>
    <x v="1"/>
  </r>
  <r>
    <n v="28228"/>
    <x v="1"/>
    <x v="0"/>
    <n v="80000"/>
    <n v="2"/>
    <x v="3"/>
    <s v="Skilled Manual"/>
    <s v="No"/>
    <n v="2"/>
    <x v="3"/>
    <x v="2"/>
    <x v="0"/>
    <x v="5"/>
    <x v="0"/>
  </r>
  <r>
    <n v="18363"/>
    <x v="0"/>
    <x v="1"/>
    <n v="40000"/>
    <n v="0"/>
    <x v="2"/>
    <s v="Skilled Manual"/>
    <s v="Yes"/>
    <n v="2"/>
    <x v="2"/>
    <x v="2"/>
    <x v="2"/>
    <x v="26"/>
    <x v="1"/>
  </r>
  <r>
    <n v="23256"/>
    <x v="1"/>
    <x v="1"/>
    <n v="30000"/>
    <n v="1"/>
    <x v="2"/>
    <s v="Clerical"/>
    <s v="No"/>
    <n v="1"/>
    <x v="2"/>
    <x v="2"/>
    <x v="0"/>
    <x v="31"/>
    <x v="0"/>
  </r>
  <r>
    <n v="12768"/>
    <x v="0"/>
    <x v="1"/>
    <n v="30000"/>
    <n v="1"/>
    <x v="2"/>
    <s v="Clerical"/>
    <s v="Yes"/>
    <n v="1"/>
    <x v="1"/>
    <x v="2"/>
    <x v="0"/>
    <x v="31"/>
    <x v="1"/>
  </r>
  <r>
    <n v="20361"/>
    <x v="0"/>
    <x v="1"/>
    <n v="50000"/>
    <n v="2"/>
    <x v="4"/>
    <s v="Management"/>
    <s v="Yes"/>
    <n v="2"/>
    <x v="2"/>
    <x v="2"/>
    <x v="1"/>
    <x v="45"/>
    <x v="0"/>
  </r>
  <r>
    <n v="21306"/>
    <x v="1"/>
    <x v="1"/>
    <n v="60000"/>
    <n v="2"/>
    <x v="2"/>
    <s v="Professional"/>
    <s v="Yes"/>
    <n v="2"/>
    <x v="2"/>
    <x v="2"/>
    <x v="0"/>
    <x v="36"/>
    <x v="0"/>
  </r>
  <r>
    <n v="13382"/>
    <x v="0"/>
    <x v="1"/>
    <n v="70000"/>
    <n v="5"/>
    <x v="1"/>
    <s v="Professional"/>
    <s v="Yes"/>
    <n v="2"/>
    <x v="3"/>
    <x v="2"/>
    <x v="1"/>
    <x v="42"/>
    <x v="1"/>
  </r>
  <r>
    <n v="20310"/>
    <x v="1"/>
    <x v="1"/>
    <n v="60000"/>
    <n v="0"/>
    <x v="1"/>
    <s v="Skilled Manual"/>
    <s v="Yes"/>
    <n v="1"/>
    <x v="2"/>
    <x v="2"/>
    <x v="2"/>
    <x v="40"/>
    <x v="1"/>
  </r>
  <r>
    <n v="22971"/>
    <x v="1"/>
    <x v="0"/>
    <n v="30000"/>
    <n v="0"/>
    <x v="2"/>
    <s v="Skilled Manual"/>
    <s v="No"/>
    <n v="2"/>
    <x v="0"/>
    <x v="2"/>
    <x v="2"/>
    <x v="37"/>
    <x v="1"/>
  </r>
  <r>
    <n v="15287"/>
    <x v="1"/>
    <x v="0"/>
    <n v="50000"/>
    <n v="1"/>
    <x v="4"/>
    <s v="Skilled Manual"/>
    <s v="Yes"/>
    <n v="0"/>
    <x v="3"/>
    <x v="2"/>
    <x v="0"/>
    <x v="6"/>
    <x v="1"/>
  </r>
  <r>
    <n v="15532"/>
    <x v="1"/>
    <x v="1"/>
    <n v="60000"/>
    <n v="4"/>
    <x v="0"/>
    <s v="Professional"/>
    <s v="Yes"/>
    <n v="2"/>
    <x v="1"/>
    <x v="2"/>
    <x v="0"/>
    <x v="1"/>
    <x v="1"/>
  </r>
  <r>
    <n v="11255"/>
    <x v="0"/>
    <x v="1"/>
    <n v="70000"/>
    <n v="4"/>
    <x v="4"/>
    <s v="Management"/>
    <s v="Yes"/>
    <n v="2"/>
    <x v="2"/>
    <x v="2"/>
    <x v="1"/>
    <x v="49"/>
    <x v="0"/>
  </r>
  <r>
    <n v="28090"/>
    <x v="0"/>
    <x v="1"/>
    <n v="40000"/>
    <n v="0"/>
    <x v="1"/>
    <s v="Skilled Manual"/>
    <s v="Yes"/>
    <n v="1"/>
    <x v="2"/>
    <x v="2"/>
    <x v="2"/>
    <x v="40"/>
    <x v="0"/>
  </r>
  <r>
    <n v="15255"/>
    <x v="0"/>
    <x v="1"/>
    <n v="40000"/>
    <n v="0"/>
    <x v="2"/>
    <s v="Skilled Manual"/>
    <s v="Yes"/>
    <n v="2"/>
    <x v="2"/>
    <x v="2"/>
    <x v="2"/>
    <x v="26"/>
    <x v="1"/>
  </r>
  <r>
    <n v="13154"/>
    <x v="0"/>
    <x v="1"/>
    <n v="40000"/>
    <n v="0"/>
    <x v="2"/>
    <s v="Skilled Manual"/>
    <s v="No"/>
    <n v="2"/>
    <x v="0"/>
    <x v="2"/>
    <x v="2"/>
    <x v="40"/>
    <x v="1"/>
  </r>
  <r>
    <n v="26778"/>
    <x v="1"/>
    <x v="0"/>
    <n v="40000"/>
    <n v="0"/>
    <x v="2"/>
    <s v="Skilled Manual"/>
    <s v="Yes"/>
    <n v="2"/>
    <x v="2"/>
    <x v="2"/>
    <x v="0"/>
    <x v="23"/>
    <x v="0"/>
  </r>
  <r>
    <n v="23248"/>
    <x v="0"/>
    <x v="0"/>
    <n v="10000"/>
    <n v="2"/>
    <x v="2"/>
    <s v="Manual"/>
    <s v="Yes"/>
    <n v="2"/>
    <x v="3"/>
    <x v="2"/>
    <x v="0"/>
    <x v="39"/>
    <x v="0"/>
  </r>
  <r>
    <n v="21417"/>
    <x v="1"/>
    <x v="0"/>
    <n v="60000"/>
    <n v="0"/>
    <x v="1"/>
    <s v="Professional"/>
    <s v="No"/>
    <n v="2"/>
    <x v="3"/>
    <x v="2"/>
    <x v="0"/>
    <x v="21"/>
    <x v="1"/>
  </r>
  <r>
    <n v="17668"/>
    <x v="1"/>
    <x v="1"/>
    <n v="30000"/>
    <n v="2"/>
    <x v="2"/>
    <s v="Skilled Manual"/>
    <s v="Yes"/>
    <n v="2"/>
    <x v="3"/>
    <x v="2"/>
    <x v="0"/>
    <x v="5"/>
    <x v="1"/>
  </r>
  <r>
    <n v="27994"/>
    <x v="0"/>
    <x v="0"/>
    <n v="40000"/>
    <n v="4"/>
    <x v="2"/>
    <s v="Professional"/>
    <s v="Yes"/>
    <n v="2"/>
    <x v="2"/>
    <x v="2"/>
    <x v="1"/>
    <x v="45"/>
    <x v="0"/>
  </r>
  <r>
    <n v="20376"/>
    <x v="1"/>
    <x v="0"/>
    <n v="70000"/>
    <n v="3"/>
    <x v="4"/>
    <s v="Management"/>
    <s v="Yes"/>
    <n v="2"/>
    <x v="2"/>
    <x v="2"/>
    <x v="0"/>
    <x v="31"/>
    <x v="1"/>
  </r>
  <r>
    <n v="25954"/>
    <x v="0"/>
    <x v="1"/>
    <n v="60000"/>
    <n v="0"/>
    <x v="1"/>
    <s v="Skilled Manual"/>
    <s v="No"/>
    <n v="2"/>
    <x v="3"/>
    <x v="2"/>
    <x v="0"/>
    <x v="23"/>
    <x v="0"/>
  </r>
  <r>
    <n v="15749"/>
    <x v="1"/>
    <x v="0"/>
    <n v="70000"/>
    <n v="4"/>
    <x v="0"/>
    <s v="Management"/>
    <s v="Yes"/>
    <n v="2"/>
    <x v="4"/>
    <x v="2"/>
    <x v="1"/>
    <x v="33"/>
    <x v="0"/>
  </r>
  <r>
    <n v="25899"/>
    <x v="0"/>
    <x v="0"/>
    <n v="70000"/>
    <n v="2"/>
    <x v="2"/>
    <s v="Professional"/>
    <s v="Yes"/>
    <n v="2"/>
    <x v="4"/>
    <x v="2"/>
    <x v="0"/>
    <x v="39"/>
    <x v="0"/>
  </r>
  <r>
    <n v="13351"/>
    <x v="1"/>
    <x v="0"/>
    <n v="70000"/>
    <n v="4"/>
    <x v="0"/>
    <s v="Management"/>
    <s v="Yes"/>
    <n v="2"/>
    <x v="3"/>
    <x v="2"/>
    <x v="1"/>
    <x v="24"/>
    <x v="1"/>
  </r>
  <r>
    <n v="23333"/>
    <x v="0"/>
    <x v="1"/>
    <n v="40000"/>
    <n v="0"/>
    <x v="1"/>
    <s v="Skilled Manual"/>
    <s v="No"/>
    <n v="2"/>
    <x v="3"/>
    <x v="2"/>
    <x v="2"/>
    <x v="25"/>
    <x v="0"/>
  </r>
  <r>
    <n v="21660"/>
    <x v="0"/>
    <x v="0"/>
    <n v="60000"/>
    <n v="3"/>
    <x v="4"/>
    <s v="Professional"/>
    <s v="Yes"/>
    <n v="0"/>
    <x v="1"/>
    <x v="2"/>
    <x v="0"/>
    <x v="1"/>
    <x v="1"/>
  </r>
  <r>
    <n v="17012"/>
    <x v="0"/>
    <x v="0"/>
    <n v="60000"/>
    <n v="3"/>
    <x v="4"/>
    <s v="Professional"/>
    <s v="Yes"/>
    <n v="0"/>
    <x v="1"/>
    <x v="2"/>
    <x v="0"/>
    <x v="0"/>
    <x v="1"/>
  </r>
  <r>
    <n v="24514"/>
    <x v="0"/>
    <x v="1"/>
    <n v="40000"/>
    <n v="0"/>
    <x v="1"/>
    <s v="Skilled Manual"/>
    <s v="Yes"/>
    <n v="1"/>
    <x v="2"/>
    <x v="2"/>
    <x v="2"/>
    <x v="25"/>
    <x v="0"/>
  </r>
  <r>
    <n v="27505"/>
    <x v="1"/>
    <x v="0"/>
    <n v="40000"/>
    <n v="0"/>
    <x v="2"/>
    <s v="Skilled Manual"/>
    <s v="Yes"/>
    <n v="2"/>
    <x v="2"/>
    <x v="2"/>
    <x v="2"/>
    <x v="25"/>
    <x v="0"/>
  </r>
  <r>
    <n v="29243"/>
    <x v="1"/>
    <x v="1"/>
    <n v="110000"/>
    <n v="1"/>
    <x v="0"/>
    <s v="Management"/>
    <s v="Yes"/>
    <n v="1"/>
    <x v="2"/>
    <x v="2"/>
    <x v="0"/>
    <x v="1"/>
    <x v="0"/>
  </r>
  <r>
    <n v="26582"/>
    <x v="0"/>
    <x v="1"/>
    <n v="60000"/>
    <n v="0"/>
    <x v="1"/>
    <s v="Skilled Manual"/>
    <s v="Yes"/>
    <n v="2"/>
    <x v="2"/>
    <x v="2"/>
    <x v="0"/>
    <x v="6"/>
    <x v="1"/>
  </r>
  <r>
    <n v="14271"/>
    <x v="0"/>
    <x v="1"/>
    <n v="30000"/>
    <n v="0"/>
    <x v="2"/>
    <s v="Skilled Manual"/>
    <s v="Yes"/>
    <n v="2"/>
    <x v="2"/>
    <x v="2"/>
    <x v="0"/>
    <x v="21"/>
    <x v="0"/>
  </r>
  <r>
    <n v="23041"/>
    <x v="1"/>
    <x v="0"/>
    <n v="70000"/>
    <n v="4"/>
    <x v="2"/>
    <s v="Professional"/>
    <s v="Yes"/>
    <n v="0"/>
    <x v="2"/>
    <x v="2"/>
    <x v="0"/>
    <x v="5"/>
    <x v="1"/>
  </r>
  <r>
    <n v="29048"/>
    <x v="1"/>
    <x v="1"/>
    <n v="110000"/>
    <n v="2"/>
    <x v="0"/>
    <s v="Management"/>
    <s v="No"/>
    <n v="3"/>
    <x v="0"/>
    <x v="2"/>
    <x v="0"/>
    <x v="34"/>
    <x v="1"/>
  </r>
  <r>
    <n v="24433"/>
    <x v="0"/>
    <x v="1"/>
    <n v="70000"/>
    <n v="3"/>
    <x v="2"/>
    <s v="Professional"/>
    <s v="No"/>
    <n v="1"/>
    <x v="3"/>
    <x v="2"/>
    <x v="0"/>
    <x v="31"/>
    <x v="1"/>
  </r>
  <r>
    <n v="15501"/>
    <x v="0"/>
    <x v="1"/>
    <n v="70000"/>
    <n v="4"/>
    <x v="4"/>
    <s v="Professional"/>
    <s v="Yes"/>
    <n v="0"/>
    <x v="1"/>
    <x v="2"/>
    <x v="0"/>
    <x v="4"/>
    <x v="1"/>
  </r>
  <r>
    <n v="13911"/>
    <x v="1"/>
    <x v="0"/>
    <n v="80000"/>
    <n v="3"/>
    <x v="0"/>
    <s v="Skilled Manual"/>
    <s v="Yes"/>
    <n v="2"/>
    <x v="1"/>
    <x v="2"/>
    <x v="0"/>
    <x v="3"/>
    <x v="1"/>
  </r>
  <r>
    <n v="20421"/>
    <x v="1"/>
    <x v="0"/>
    <n v="40000"/>
    <n v="0"/>
    <x v="3"/>
    <s v="Clerical"/>
    <s v="Yes"/>
    <n v="2"/>
    <x v="2"/>
    <x v="2"/>
    <x v="2"/>
    <x v="22"/>
    <x v="0"/>
  </r>
  <r>
    <n v="16009"/>
    <x v="1"/>
    <x v="1"/>
    <n v="170000"/>
    <n v="1"/>
    <x v="4"/>
    <s v="Management"/>
    <s v="No"/>
    <n v="4"/>
    <x v="0"/>
    <x v="2"/>
    <x v="1"/>
    <x v="29"/>
    <x v="0"/>
  </r>
  <r>
    <n v="18411"/>
    <x v="0"/>
    <x v="1"/>
    <n v="60000"/>
    <n v="2"/>
    <x v="2"/>
    <s v="Professional"/>
    <s v="No"/>
    <n v="2"/>
    <x v="2"/>
    <x v="2"/>
    <x v="0"/>
    <x v="36"/>
    <x v="0"/>
  </r>
  <r>
    <n v="19163"/>
    <x v="0"/>
    <x v="0"/>
    <n v="70000"/>
    <n v="4"/>
    <x v="0"/>
    <s v="Professional"/>
    <s v="Yes"/>
    <n v="2"/>
    <x v="0"/>
    <x v="2"/>
    <x v="0"/>
    <x v="1"/>
    <x v="1"/>
  </r>
  <r>
    <n v="18572"/>
    <x v="0"/>
    <x v="0"/>
    <n v="60000"/>
    <n v="0"/>
    <x v="4"/>
    <s v="Professional"/>
    <s v="Yes"/>
    <n v="0"/>
    <x v="0"/>
    <x v="2"/>
    <x v="0"/>
    <x v="32"/>
    <x v="0"/>
  </r>
  <r>
    <n v="27540"/>
    <x v="1"/>
    <x v="0"/>
    <n v="70000"/>
    <n v="0"/>
    <x v="0"/>
    <s v="Professional"/>
    <s v="No"/>
    <n v="1"/>
    <x v="0"/>
    <x v="2"/>
    <x v="0"/>
    <x v="34"/>
    <x v="1"/>
  </r>
  <r>
    <n v="19889"/>
    <x v="1"/>
    <x v="0"/>
    <n v="70000"/>
    <n v="2"/>
    <x v="3"/>
    <s v="Skilled Manual"/>
    <s v="No"/>
    <n v="2"/>
    <x v="1"/>
    <x v="2"/>
    <x v="0"/>
    <x v="9"/>
    <x v="1"/>
  </r>
  <r>
    <n v="12922"/>
    <x v="1"/>
    <x v="0"/>
    <n v="60000"/>
    <n v="3"/>
    <x v="0"/>
    <s v="Skilled Manual"/>
    <s v="Yes"/>
    <n v="0"/>
    <x v="1"/>
    <x v="2"/>
    <x v="0"/>
    <x v="8"/>
    <x v="1"/>
  </r>
  <r>
    <n v="18891"/>
    <x v="0"/>
    <x v="0"/>
    <n v="40000"/>
    <n v="0"/>
    <x v="1"/>
    <s v="Skilled Manual"/>
    <s v="Yes"/>
    <n v="2"/>
    <x v="2"/>
    <x v="2"/>
    <x v="2"/>
    <x v="26"/>
    <x v="0"/>
  </r>
  <r>
    <n v="16773"/>
    <x v="0"/>
    <x v="1"/>
    <n v="60000"/>
    <n v="1"/>
    <x v="4"/>
    <s v="Skilled Manual"/>
    <s v="Yes"/>
    <n v="0"/>
    <x v="0"/>
    <x v="2"/>
    <x v="0"/>
    <x v="6"/>
    <x v="0"/>
  </r>
  <r>
    <n v="19143"/>
    <x v="1"/>
    <x v="0"/>
    <n v="80000"/>
    <n v="3"/>
    <x v="0"/>
    <s v="Skilled Manual"/>
    <s v="Yes"/>
    <n v="2"/>
    <x v="1"/>
    <x v="2"/>
    <x v="0"/>
    <x v="3"/>
    <x v="1"/>
  </r>
  <r>
    <n v="23882"/>
    <x v="1"/>
    <x v="0"/>
    <n v="80000"/>
    <n v="3"/>
    <x v="4"/>
    <s v="Professional"/>
    <s v="Yes"/>
    <n v="0"/>
    <x v="0"/>
    <x v="2"/>
    <x v="0"/>
    <x v="34"/>
    <x v="1"/>
  </r>
  <r>
    <n v="11233"/>
    <x v="0"/>
    <x v="1"/>
    <n v="70000"/>
    <n v="4"/>
    <x v="1"/>
    <s v="Professional"/>
    <s v="Yes"/>
    <n v="2"/>
    <x v="4"/>
    <x v="2"/>
    <x v="0"/>
    <x v="39"/>
    <x v="0"/>
  </r>
  <r>
    <n v="12056"/>
    <x v="0"/>
    <x v="1"/>
    <n v="120000"/>
    <n v="2"/>
    <x v="4"/>
    <s v="Management"/>
    <s v="Yes"/>
    <n v="3"/>
    <x v="2"/>
    <x v="2"/>
    <x v="1"/>
    <x v="46"/>
    <x v="0"/>
  </r>
  <r>
    <n v="15555"/>
    <x v="0"/>
    <x v="0"/>
    <n v="60000"/>
    <n v="1"/>
    <x v="1"/>
    <s v="Skilled Manual"/>
    <s v="Yes"/>
    <n v="1"/>
    <x v="1"/>
    <x v="2"/>
    <x v="0"/>
    <x v="12"/>
    <x v="1"/>
  </r>
  <r>
    <n v="18423"/>
    <x v="1"/>
    <x v="1"/>
    <n v="80000"/>
    <n v="2"/>
    <x v="3"/>
    <s v="Skilled Manual"/>
    <s v="No"/>
    <n v="2"/>
    <x v="3"/>
    <x v="2"/>
    <x v="0"/>
    <x v="31"/>
    <x v="0"/>
  </r>
  <r>
    <n v="22743"/>
    <x v="0"/>
    <x v="0"/>
    <n v="40000"/>
    <n v="5"/>
    <x v="2"/>
    <s v="Professional"/>
    <s v="Yes"/>
    <n v="2"/>
    <x v="4"/>
    <x v="2"/>
    <x v="1"/>
    <x v="2"/>
    <x v="0"/>
  </r>
  <r>
    <n v="25343"/>
    <x v="1"/>
    <x v="0"/>
    <n v="20000"/>
    <n v="3"/>
    <x v="3"/>
    <s v="Clerical"/>
    <s v="Yes"/>
    <n v="2"/>
    <x v="3"/>
    <x v="2"/>
    <x v="0"/>
    <x v="5"/>
    <x v="0"/>
  </r>
  <r>
    <n v="13390"/>
    <x v="0"/>
    <x v="0"/>
    <n v="70000"/>
    <n v="4"/>
    <x v="1"/>
    <s v="Professional"/>
    <s v="No"/>
    <n v="1"/>
    <x v="3"/>
    <x v="2"/>
    <x v="1"/>
    <x v="16"/>
    <x v="0"/>
  </r>
  <r>
    <n v="17482"/>
    <x v="1"/>
    <x v="0"/>
    <n v="40000"/>
    <n v="0"/>
    <x v="3"/>
    <s v="Clerical"/>
    <s v="Yes"/>
    <n v="2"/>
    <x v="2"/>
    <x v="2"/>
    <x v="2"/>
    <x v="19"/>
    <x v="0"/>
  </r>
  <r>
    <n v="13176"/>
    <x v="1"/>
    <x v="1"/>
    <n v="130000"/>
    <n v="0"/>
    <x v="4"/>
    <s v="Management"/>
    <s v="No"/>
    <n v="2"/>
    <x v="0"/>
    <x v="2"/>
    <x v="0"/>
    <x v="13"/>
    <x v="1"/>
  </r>
  <r>
    <n v="20504"/>
    <x v="0"/>
    <x v="0"/>
    <n v="40000"/>
    <n v="5"/>
    <x v="2"/>
    <s v="Professional"/>
    <s v="No"/>
    <n v="2"/>
    <x v="1"/>
    <x v="2"/>
    <x v="1"/>
    <x v="2"/>
    <x v="0"/>
  </r>
  <r>
    <n v="12205"/>
    <x v="1"/>
    <x v="0"/>
    <n v="130000"/>
    <n v="2"/>
    <x v="0"/>
    <s v="Management"/>
    <s v="No"/>
    <n v="4"/>
    <x v="0"/>
    <x v="2"/>
    <x v="1"/>
    <x v="41"/>
    <x v="0"/>
  </r>
  <r>
    <n v="16751"/>
    <x v="0"/>
    <x v="1"/>
    <n v="60000"/>
    <n v="0"/>
    <x v="1"/>
    <s v="Skilled Manual"/>
    <s v="Yes"/>
    <n v="1"/>
    <x v="2"/>
    <x v="2"/>
    <x v="0"/>
    <x v="21"/>
    <x v="1"/>
  </r>
  <r>
    <n v="21613"/>
    <x v="1"/>
    <x v="1"/>
    <n v="50000"/>
    <n v="2"/>
    <x v="0"/>
    <s v="Skilled Manual"/>
    <s v="No"/>
    <n v="1"/>
    <x v="0"/>
    <x v="2"/>
    <x v="0"/>
    <x v="32"/>
    <x v="1"/>
  </r>
  <r>
    <n v="24801"/>
    <x v="1"/>
    <x v="1"/>
    <n v="60000"/>
    <n v="1"/>
    <x v="4"/>
    <s v="Professional"/>
    <s v="Yes"/>
    <n v="0"/>
    <x v="1"/>
    <x v="2"/>
    <x v="0"/>
    <x v="11"/>
    <x v="1"/>
  </r>
  <r>
    <n v="17519"/>
    <x v="0"/>
    <x v="0"/>
    <n v="60000"/>
    <n v="0"/>
    <x v="1"/>
    <s v="Professional"/>
    <s v="Yes"/>
    <n v="2"/>
    <x v="2"/>
    <x v="2"/>
    <x v="0"/>
    <x v="21"/>
    <x v="0"/>
  </r>
  <r>
    <n v="18347"/>
    <x v="1"/>
    <x v="0"/>
    <n v="30000"/>
    <n v="0"/>
    <x v="1"/>
    <s v="Skilled Manual"/>
    <s v="No"/>
    <n v="1"/>
    <x v="3"/>
    <x v="2"/>
    <x v="0"/>
    <x v="23"/>
    <x v="0"/>
  </r>
  <r>
    <n v="29052"/>
    <x v="1"/>
    <x v="1"/>
    <n v="40000"/>
    <n v="0"/>
    <x v="1"/>
    <s v="Skilled Manual"/>
    <s v="Yes"/>
    <n v="1"/>
    <x v="2"/>
    <x v="2"/>
    <x v="2"/>
    <x v="40"/>
    <x v="0"/>
  </r>
  <r>
    <n v="11745"/>
    <x v="0"/>
    <x v="0"/>
    <n v="60000"/>
    <n v="1"/>
    <x v="0"/>
    <s v="Professional"/>
    <s v="Yes"/>
    <n v="1"/>
    <x v="0"/>
    <x v="2"/>
    <x v="0"/>
    <x v="15"/>
    <x v="1"/>
  </r>
  <r>
    <n v="19147"/>
    <x v="0"/>
    <x v="1"/>
    <n v="40000"/>
    <n v="0"/>
    <x v="0"/>
    <s v="Professional"/>
    <s v="No"/>
    <n v="1"/>
    <x v="0"/>
    <x v="2"/>
    <x v="0"/>
    <x v="0"/>
    <x v="0"/>
  </r>
  <r>
    <n v="19217"/>
    <x v="0"/>
    <x v="1"/>
    <n v="30000"/>
    <n v="2"/>
    <x v="2"/>
    <s v="Skilled Manual"/>
    <s v="Yes"/>
    <n v="2"/>
    <x v="3"/>
    <x v="2"/>
    <x v="0"/>
    <x v="38"/>
    <x v="0"/>
  </r>
  <r>
    <n v="15839"/>
    <x v="1"/>
    <x v="1"/>
    <n v="30000"/>
    <n v="0"/>
    <x v="1"/>
    <s v="Skilled Manual"/>
    <s v="Yes"/>
    <n v="1"/>
    <x v="2"/>
    <x v="2"/>
    <x v="0"/>
    <x v="21"/>
    <x v="0"/>
  </r>
  <r>
    <n v="13714"/>
    <x v="0"/>
    <x v="0"/>
    <n v="20000"/>
    <n v="2"/>
    <x v="2"/>
    <s v="Manual"/>
    <s v="No"/>
    <n v="2"/>
    <x v="3"/>
    <x v="2"/>
    <x v="0"/>
    <x v="39"/>
    <x v="1"/>
  </r>
  <r>
    <n v="22330"/>
    <x v="0"/>
    <x v="1"/>
    <n v="50000"/>
    <n v="0"/>
    <x v="4"/>
    <s v="Skilled Manual"/>
    <s v="Yes"/>
    <n v="0"/>
    <x v="3"/>
    <x v="2"/>
    <x v="0"/>
    <x v="21"/>
    <x v="1"/>
  </r>
  <r>
    <n v="18783"/>
    <x v="1"/>
    <x v="1"/>
    <n v="80000"/>
    <n v="0"/>
    <x v="0"/>
    <s v="Management"/>
    <s v="No"/>
    <n v="1"/>
    <x v="0"/>
    <x v="2"/>
    <x v="0"/>
    <x v="13"/>
    <x v="1"/>
  </r>
  <r>
    <n v="25041"/>
    <x v="1"/>
    <x v="1"/>
    <n v="40000"/>
    <n v="0"/>
    <x v="2"/>
    <s v="Skilled Manual"/>
    <s v="Yes"/>
    <n v="2"/>
    <x v="2"/>
    <x v="2"/>
    <x v="0"/>
    <x v="23"/>
    <x v="0"/>
  </r>
  <r>
    <n v="22046"/>
    <x v="1"/>
    <x v="0"/>
    <n v="80000"/>
    <n v="0"/>
    <x v="0"/>
    <s v="Management"/>
    <s v="No"/>
    <n v="1"/>
    <x v="0"/>
    <x v="2"/>
    <x v="0"/>
    <x v="13"/>
    <x v="1"/>
  </r>
  <r>
    <n v="28052"/>
    <x v="0"/>
    <x v="1"/>
    <n v="60000"/>
    <n v="2"/>
    <x v="2"/>
    <s v="Professional"/>
    <s v="Yes"/>
    <n v="2"/>
    <x v="4"/>
    <x v="2"/>
    <x v="1"/>
    <x v="10"/>
    <x v="0"/>
  </r>
  <r>
    <n v="26693"/>
    <x v="0"/>
    <x v="1"/>
    <n v="70000"/>
    <n v="3"/>
    <x v="1"/>
    <s v="Professional"/>
    <s v="Yes"/>
    <n v="1"/>
    <x v="2"/>
    <x v="2"/>
    <x v="0"/>
    <x v="38"/>
    <x v="0"/>
  </r>
  <r>
    <n v="24955"/>
    <x v="1"/>
    <x v="1"/>
    <n v="30000"/>
    <n v="5"/>
    <x v="3"/>
    <s v="Skilled Manual"/>
    <s v="Yes"/>
    <n v="3"/>
    <x v="4"/>
    <x v="2"/>
    <x v="1"/>
    <x v="2"/>
    <x v="1"/>
  </r>
  <r>
    <n v="26065"/>
    <x v="1"/>
    <x v="0"/>
    <n v="110000"/>
    <n v="3"/>
    <x v="0"/>
    <s v="Management"/>
    <s v="No"/>
    <n v="4"/>
    <x v="3"/>
    <x v="2"/>
    <x v="0"/>
    <x v="0"/>
    <x v="0"/>
  </r>
  <r>
    <n v="13942"/>
    <x v="0"/>
    <x v="1"/>
    <n v="60000"/>
    <n v="1"/>
    <x v="1"/>
    <s v="Skilled Manual"/>
    <s v="Yes"/>
    <n v="1"/>
    <x v="0"/>
    <x v="2"/>
    <x v="0"/>
    <x v="30"/>
    <x v="0"/>
  </r>
  <r>
    <n v="11219"/>
    <x v="0"/>
    <x v="1"/>
    <n v="60000"/>
    <n v="2"/>
    <x v="2"/>
    <s v="Professional"/>
    <s v="Yes"/>
    <n v="2"/>
    <x v="4"/>
    <x v="2"/>
    <x v="1"/>
    <x v="10"/>
    <x v="0"/>
  </r>
  <r>
    <n v="22118"/>
    <x v="1"/>
    <x v="0"/>
    <n v="70000"/>
    <n v="3"/>
    <x v="4"/>
    <s v="Management"/>
    <s v="Yes"/>
    <n v="2"/>
    <x v="2"/>
    <x v="2"/>
    <x v="0"/>
    <x v="39"/>
    <x v="1"/>
  </r>
  <r>
    <n v="23197"/>
    <x v="0"/>
    <x v="1"/>
    <n v="50000"/>
    <n v="3"/>
    <x v="0"/>
    <s v="Skilled Manual"/>
    <s v="Yes"/>
    <n v="2"/>
    <x v="1"/>
    <x v="2"/>
    <x v="0"/>
    <x v="8"/>
    <x v="0"/>
  </r>
  <r>
    <n v="14883"/>
    <x v="0"/>
    <x v="0"/>
    <n v="30000"/>
    <n v="1"/>
    <x v="0"/>
    <s v="Skilled Manual"/>
    <s v="Yes"/>
    <n v="1"/>
    <x v="2"/>
    <x v="2"/>
    <x v="0"/>
    <x v="39"/>
    <x v="1"/>
  </r>
  <r>
    <n v="27279"/>
    <x v="1"/>
    <x v="0"/>
    <n v="70000"/>
    <n v="2"/>
    <x v="0"/>
    <s v="Skilled Manual"/>
    <s v="Yes"/>
    <n v="0"/>
    <x v="1"/>
    <x v="2"/>
    <x v="0"/>
    <x v="13"/>
    <x v="1"/>
  </r>
  <r>
    <n v="18322"/>
    <x v="1"/>
    <x v="1"/>
    <n v="30000"/>
    <n v="0"/>
    <x v="3"/>
    <s v="Clerical"/>
    <s v="No"/>
    <n v="2"/>
    <x v="0"/>
    <x v="2"/>
    <x v="2"/>
    <x v="22"/>
    <x v="0"/>
  </r>
  <r>
    <n v="15879"/>
    <x v="0"/>
    <x v="1"/>
    <n v="70000"/>
    <n v="5"/>
    <x v="0"/>
    <s v="Management"/>
    <s v="Yes"/>
    <n v="2"/>
    <x v="1"/>
    <x v="2"/>
    <x v="1"/>
    <x v="33"/>
    <x v="0"/>
  </r>
  <r>
    <n v="28278"/>
    <x v="0"/>
    <x v="1"/>
    <n v="50000"/>
    <n v="2"/>
    <x v="4"/>
    <s v="Management"/>
    <s v="Yes"/>
    <n v="2"/>
    <x v="2"/>
    <x v="2"/>
    <x v="1"/>
    <x v="51"/>
    <x v="0"/>
  </r>
  <r>
    <n v="24416"/>
    <x v="0"/>
    <x v="1"/>
    <n v="90000"/>
    <n v="4"/>
    <x v="2"/>
    <s v="Professional"/>
    <s v="Yes"/>
    <n v="2"/>
    <x v="3"/>
    <x v="2"/>
    <x v="0"/>
    <x v="12"/>
    <x v="0"/>
  </r>
  <r>
    <n v="28066"/>
    <x v="0"/>
    <x v="1"/>
    <n v="80000"/>
    <n v="2"/>
    <x v="4"/>
    <s v="Professional"/>
    <s v="Yes"/>
    <n v="0"/>
    <x v="0"/>
    <x v="2"/>
    <x v="0"/>
    <x v="34"/>
    <x v="1"/>
  </r>
  <r>
    <n v="11275"/>
    <x v="0"/>
    <x v="0"/>
    <n v="80000"/>
    <n v="4"/>
    <x v="4"/>
    <s v="Management"/>
    <s v="Yes"/>
    <n v="2"/>
    <x v="0"/>
    <x v="2"/>
    <x v="1"/>
    <x v="52"/>
    <x v="1"/>
  </r>
  <r>
    <n v="14872"/>
    <x v="0"/>
    <x v="1"/>
    <n v="30000"/>
    <n v="0"/>
    <x v="4"/>
    <s v="Skilled Manual"/>
    <s v="Yes"/>
    <n v="0"/>
    <x v="0"/>
    <x v="2"/>
    <x v="0"/>
    <x v="21"/>
    <x v="0"/>
  </r>
  <r>
    <n v="16151"/>
    <x v="0"/>
    <x v="0"/>
    <n v="60000"/>
    <n v="1"/>
    <x v="0"/>
    <s v="Professional"/>
    <s v="Yes"/>
    <n v="1"/>
    <x v="1"/>
    <x v="2"/>
    <x v="0"/>
    <x v="28"/>
    <x v="1"/>
  </r>
  <r>
    <n v="19731"/>
    <x v="0"/>
    <x v="1"/>
    <n v="80000"/>
    <n v="4"/>
    <x v="4"/>
    <s v="Management"/>
    <s v="Yes"/>
    <n v="2"/>
    <x v="2"/>
    <x v="2"/>
    <x v="1"/>
    <x v="35"/>
    <x v="0"/>
  </r>
  <r>
    <n v="23801"/>
    <x v="0"/>
    <x v="0"/>
    <n v="20000"/>
    <n v="2"/>
    <x v="3"/>
    <s v="Clerical"/>
    <s v="Yes"/>
    <n v="2"/>
    <x v="0"/>
    <x v="2"/>
    <x v="0"/>
    <x v="38"/>
    <x v="0"/>
  </r>
  <r>
    <n v="11807"/>
    <x v="0"/>
    <x v="1"/>
    <n v="70000"/>
    <n v="3"/>
    <x v="4"/>
    <s v="Professional"/>
    <s v="Yes"/>
    <n v="0"/>
    <x v="1"/>
    <x v="2"/>
    <x v="0"/>
    <x v="17"/>
    <x v="0"/>
  </r>
  <r>
    <n v="11622"/>
    <x v="0"/>
    <x v="1"/>
    <n v="50000"/>
    <n v="0"/>
    <x v="4"/>
    <s v="Skilled Manual"/>
    <s v="Yes"/>
    <n v="0"/>
    <x v="0"/>
    <x v="2"/>
    <x v="0"/>
    <x v="21"/>
    <x v="0"/>
  </r>
  <r>
    <n v="26597"/>
    <x v="1"/>
    <x v="0"/>
    <n v="60000"/>
    <n v="4"/>
    <x v="0"/>
    <s v="Skilled Manual"/>
    <s v="No"/>
    <n v="2"/>
    <x v="0"/>
    <x v="2"/>
    <x v="0"/>
    <x v="0"/>
    <x v="0"/>
  </r>
  <r>
    <n v="27074"/>
    <x v="0"/>
    <x v="0"/>
    <n v="70000"/>
    <n v="1"/>
    <x v="4"/>
    <s v="Skilled Manual"/>
    <s v="Yes"/>
    <n v="0"/>
    <x v="0"/>
    <x v="2"/>
    <x v="0"/>
    <x v="11"/>
    <x v="1"/>
  </r>
  <r>
    <n v="19228"/>
    <x v="0"/>
    <x v="0"/>
    <n v="40000"/>
    <n v="2"/>
    <x v="1"/>
    <s v="Clerical"/>
    <s v="Yes"/>
    <n v="1"/>
    <x v="0"/>
    <x v="2"/>
    <x v="0"/>
    <x v="28"/>
    <x v="0"/>
  </r>
  <r>
    <n v="13415"/>
    <x v="1"/>
    <x v="1"/>
    <n v="100000"/>
    <n v="1"/>
    <x v="4"/>
    <s v="Management"/>
    <s v="Yes"/>
    <n v="3"/>
    <x v="1"/>
    <x v="2"/>
    <x v="1"/>
    <x v="49"/>
    <x v="1"/>
  </r>
  <r>
    <n v="17000"/>
    <x v="1"/>
    <x v="0"/>
    <n v="70000"/>
    <n v="4"/>
    <x v="0"/>
    <s v="Skilled Manual"/>
    <s v="Yes"/>
    <n v="2"/>
    <x v="1"/>
    <x v="2"/>
    <x v="0"/>
    <x v="1"/>
    <x v="1"/>
  </r>
  <r>
    <n v="14569"/>
    <x v="0"/>
    <x v="1"/>
    <n v="60000"/>
    <n v="1"/>
    <x v="4"/>
    <s v="Professional"/>
    <s v="Yes"/>
    <n v="0"/>
    <x v="0"/>
    <x v="2"/>
    <x v="0"/>
    <x v="11"/>
    <x v="0"/>
  </r>
  <r>
    <n v="13873"/>
    <x v="0"/>
    <x v="1"/>
    <n v="70000"/>
    <n v="3"/>
    <x v="4"/>
    <s v="Professional"/>
    <s v="Yes"/>
    <n v="0"/>
    <x v="0"/>
    <x v="2"/>
    <x v="0"/>
    <x v="11"/>
    <x v="1"/>
  </r>
  <r>
    <n v="20401"/>
    <x v="0"/>
    <x v="0"/>
    <n v="50000"/>
    <n v="4"/>
    <x v="0"/>
    <s v="Management"/>
    <s v="Yes"/>
    <n v="2"/>
    <x v="3"/>
    <x v="2"/>
    <x v="1"/>
    <x v="46"/>
    <x v="1"/>
  </r>
  <r>
    <n v="21583"/>
    <x v="0"/>
    <x v="0"/>
    <n v="50000"/>
    <n v="1"/>
    <x v="0"/>
    <s v="Skilled Manual"/>
    <s v="Yes"/>
    <n v="0"/>
    <x v="0"/>
    <x v="2"/>
    <x v="0"/>
    <x v="17"/>
    <x v="1"/>
  </r>
  <r>
    <n v="12029"/>
    <x v="0"/>
    <x v="1"/>
    <n v="30000"/>
    <n v="0"/>
    <x v="3"/>
    <s v="Clerical"/>
    <s v="No"/>
    <n v="2"/>
    <x v="0"/>
    <x v="2"/>
    <x v="2"/>
    <x v="26"/>
    <x v="0"/>
  </r>
  <r>
    <n v="18066"/>
    <x v="1"/>
    <x v="1"/>
    <n v="70000"/>
    <n v="5"/>
    <x v="0"/>
    <s v="Management"/>
    <s v="Yes"/>
    <n v="3"/>
    <x v="4"/>
    <x v="2"/>
    <x v="1"/>
    <x v="2"/>
    <x v="1"/>
  </r>
  <r>
    <n v="28192"/>
    <x v="0"/>
    <x v="0"/>
    <n v="70000"/>
    <n v="5"/>
    <x v="4"/>
    <s v="Professional"/>
    <s v="Yes"/>
    <n v="3"/>
    <x v="4"/>
    <x v="2"/>
    <x v="0"/>
    <x v="30"/>
    <x v="0"/>
  </r>
  <r>
    <n v="16122"/>
    <x v="0"/>
    <x v="1"/>
    <n v="40000"/>
    <n v="4"/>
    <x v="2"/>
    <s v="Skilled Manual"/>
    <s v="Yes"/>
    <n v="2"/>
    <x v="0"/>
    <x v="2"/>
    <x v="0"/>
    <x v="20"/>
    <x v="1"/>
  </r>
  <r>
    <n v="18607"/>
    <x v="1"/>
    <x v="0"/>
    <n v="60000"/>
    <n v="4"/>
    <x v="0"/>
    <s v="Skilled Manual"/>
    <s v="Yes"/>
    <n v="2"/>
    <x v="1"/>
    <x v="2"/>
    <x v="0"/>
    <x v="0"/>
    <x v="1"/>
  </r>
  <r>
    <n v="28858"/>
    <x v="1"/>
    <x v="1"/>
    <n v="80000"/>
    <n v="3"/>
    <x v="0"/>
    <s v="Skilled Manual"/>
    <s v="Yes"/>
    <n v="0"/>
    <x v="1"/>
    <x v="2"/>
    <x v="0"/>
    <x v="8"/>
    <x v="0"/>
  </r>
  <r>
    <n v="14432"/>
    <x v="1"/>
    <x v="1"/>
    <n v="90000"/>
    <n v="4"/>
    <x v="4"/>
    <s v="Management"/>
    <s v="Yes"/>
    <n v="1"/>
    <x v="2"/>
    <x v="2"/>
    <x v="1"/>
    <x v="49"/>
    <x v="0"/>
  </r>
  <r>
    <n v="26305"/>
    <x v="1"/>
    <x v="0"/>
    <n v="60000"/>
    <n v="2"/>
    <x v="0"/>
    <s v="Skilled Manual"/>
    <s v="No"/>
    <n v="0"/>
    <x v="0"/>
    <x v="2"/>
    <x v="0"/>
    <x v="4"/>
    <x v="1"/>
  </r>
  <r>
    <n v="22050"/>
    <x v="1"/>
    <x v="1"/>
    <n v="90000"/>
    <n v="4"/>
    <x v="0"/>
    <s v="Management"/>
    <s v="Yes"/>
    <n v="1"/>
    <x v="3"/>
    <x v="2"/>
    <x v="0"/>
    <x v="13"/>
    <x v="1"/>
  </r>
  <r>
    <n v="25394"/>
    <x v="0"/>
    <x v="1"/>
    <n v="60000"/>
    <n v="1"/>
    <x v="4"/>
    <s v="Professional"/>
    <s v="Yes"/>
    <n v="0"/>
    <x v="1"/>
    <x v="2"/>
    <x v="0"/>
    <x v="17"/>
    <x v="1"/>
  </r>
  <r>
    <n v="19747"/>
    <x v="0"/>
    <x v="1"/>
    <n v="50000"/>
    <n v="4"/>
    <x v="0"/>
    <s v="Management"/>
    <s v="Yes"/>
    <n v="2"/>
    <x v="4"/>
    <x v="2"/>
    <x v="1"/>
    <x v="18"/>
    <x v="0"/>
  </r>
  <r>
    <n v="23195"/>
    <x v="1"/>
    <x v="1"/>
    <n v="50000"/>
    <n v="3"/>
    <x v="0"/>
    <s v="Skilled Manual"/>
    <s v="Yes"/>
    <n v="2"/>
    <x v="1"/>
    <x v="2"/>
    <x v="0"/>
    <x v="3"/>
    <x v="1"/>
  </r>
  <r>
    <n v="21695"/>
    <x v="0"/>
    <x v="1"/>
    <n v="60000"/>
    <n v="0"/>
    <x v="4"/>
    <s v="Skilled Manual"/>
    <s v="Yes"/>
    <n v="0"/>
    <x v="3"/>
    <x v="2"/>
    <x v="0"/>
    <x v="32"/>
    <x v="1"/>
  </r>
  <r>
    <n v="13934"/>
    <x v="0"/>
    <x v="1"/>
    <n v="40000"/>
    <n v="4"/>
    <x v="2"/>
    <s v="Skilled Manual"/>
    <s v="Yes"/>
    <n v="2"/>
    <x v="1"/>
    <x v="2"/>
    <x v="0"/>
    <x v="30"/>
    <x v="0"/>
  </r>
  <r>
    <n v="13337"/>
    <x v="0"/>
    <x v="0"/>
    <n v="80000"/>
    <n v="5"/>
    <x v="0"/>
    <s v="Management"/>
    <s v="Yes"/>
    <n v="2"/>
    <x v="2"/>
    <x v="2"/>
    <x v="1"/>
    <x v="46"/>
    <x v="0"/>
  </r>
  <r>
    <n v="27190"/>
    <x v="0"/>
    <x v="0"/>
    <n v="40000"/>
    <n v="3"/>
    <x v="1"/>
    <s v="Clerical"/>
    <s v="Yes"/>
    <n v="1"/>
    <x v="3"/>
    <x v="2"/>
    <x v="0"/>
    <x v="21"/>
    <x v="0"/>
  </r>
  <r>
    <n v="28657"/>
    <x v="1"/>
    <x v="1"/>
    <n v="60000"/>
    <n v="2"/>
    <x v="0"/>
    <s v="Skilled Manual"/>
    <s v="Yes"/>
    <n v="0"/>
    <x v="1"/>
    <x v="2"/>
    <x v="0"/>
    <x v="4"/>
    <x v="1"/>
  </r>
  <r>
    <n v="21713"/>
    <x v="1"/>
    <x v="1"/>
    <n v="80000"/>
    <n v="5"/>
    <x v="4"/>
    <s v="Skilled Manual"/>
    <s v="No"/>
    <n v="0"/>
    <x v="0"/>
    <x v="2"/>
    <x v="0"/>
    <x v="15"/>
    <x v="0"/>
  </r>
  <r>
    <n v="21752"/>
    <x v="0"/>
    <x v="1"/>
    <n v="60000"/>
    <n v="3"/>
    <x v="4"/>
    <s v="Management"/>
    <s v="Yes"/>
    <n v="2"/>
    <x v="4"/>
    <x v="2"/>
    <x v="1"/>
    <x v="46"/>
    <x v="0"/>
  </r>
  <r>
    <n v="27273"/>
    <x v="1"/>
    <x v="1"/>
    <n v="70000"/>
    <n v="3"/>
    <x v="4"/>
    <s v="Professional"/>
    <s v="No"/>
    <n v="0"/>
    <x v="0"/>
    <x v="2"/>
    <x v="0"/>
    <x v="11"/>
    <x v="1"/>
  </r>
  <r>
    <n v="22719"/>
    <x v="1"/>
    <x v="1"/>
    <n v="110000"/>
    <n v="3"/>
    <x v="0"/>
    <s v="Management"/>
    <s v="Yes"/>
    <n v="4"/>
    <x v="1"/>
    <x v="2"/>
    <x v="0"/>
    <x v="8"/>
    <x v="1"/>
  </r>
  <r>
    <n v="22042"/>
    <x v="0"/>
    <x v="0"/>
    <n v="70000"/>
    <n v="0"/>
    <x v="1"/>
    <s v="Skilled Manual"/>
    <s v="Yes"/>
    <n v="2"/>
    <x v="2"/>
    <x v="2"/>
    <x v="0"/>
    <x v="17"/>
    <x v="1"/>
  </r>
  <r>
    <n v="21451"/>
    <x v="0"/>
    <x v="0"/>
    <n v="40000"/>
    <n v="4"/>
    <x v="2"/>
    <s v="Professional"/>
    <s v="Yes"/>
    <n v="2"/>
    <x v="4"/>
    <x v="2"/>
    <x v="1"/>
    <x v="33"/>
    <x v="0"/>
  </r>
  <r>
    <n v="20754"/>
    <x v="0"/>
    <x v="1"/>
    <n v="30000"/>
    <n v="2"/>
    <x v="2"/>
    <s v="Skilled Manual"/>
    <s v="Yes"/>
    <n v="2"/>
    <x v="3"/>
    <x v="2"/>
    <x v="0"/>
    <x v="36"/>
    <x v="0"/>
  </r>
  <r>
    <n v="12153"/>
    <x v="1"/>
    <x v="0"/>
    <n v="70000"/>
    <n v="3"/>
    <x v="1"/>
    <s v="Professional"/>
    <s v="Yes"/>
    <n v="1"/>
    <x v="2"/>
    <x v="2"/>
    <x v="0"/>
    <x v="38"/>
    <x v="1"/>
  </r>
  <r>
    <n v="16895"/>
    <x v="0"/>
    <x v="0"/>
    <n v="40000"/>
    <n v="3"/>
    <x v="1"/>
    <s v="Professional"/>
    <s v="No"/>
    <n v="2"/>
    <x v="3"/>
    <x v="2"/>
    <x v="0"/>
    <x v="9"/>
    <x v="1"/>
  </r>
  <r>
    <n v="26728"/>
    <x v="1"/>
    <x v="1"/>
    <n v="70000"/>
    <n v="3"/>
    <x v="4"/>
    <s v="Management"/>
    <s v="No"/>
    <n v="2"/>
    <x v="3"/>
    <x v="2"/>
    <x v="0"/>
    <x v="39"/>
    <x v="1"/>
  </r>
  <r>
    <n v="11090"/>
    <x v="1"/>
    <x v="1"/>
    <n v="90000"/>
    <n v="2"/>
    <x v="1"/>
    <s v="Professional"/>
    <s v="Yes"/>
    <n v="1"/>
    <x v="1"/>
    <x v="2"/>
    <x v="0"/>
    <x v="28"/>
    <x v="1"/>
  </r>
  <r>
    <n v="15862"/>
    <x v="1"/>
    <x v="0"/>
    <n v="50000"/>
    <n v="0"/>
    <x v="4"/>
    <s v="Skilled Manual"/>
    <s v="Yes"/>
    <n v="0"/>
    <x v="3"/>
    <x v="2"/>
    <x v="0"/>
    <x v="6"/>
    <x v="1"/>
  </r>
  <r>
    <n v="26495"/>
    <x v="1"/>
    <x v="0"/>
    <n v="40000"/>
    <n v="2"/>
    <x v="2"/>
    <s v="Professional"/>
    <s v="Yes"/>
    <n v="2"/>
    <x v="4"/>
    <x v="2"/>
    <x v="1"/>
    <x v="42"/>
    <x v="0"/>
  </r>
  <r>
    <n v="11823"/>
    <x v="0"/>
    <x v="0"/>
    <n v="70000"/>
    <n v="0"/>
    <x v="4"/>
    <s v="Professional"/>
    <s v="Yes"/>
    <n v="0"/>
    <x v="1"/>
    <x v="2"/>
    <x v="0"/>
    <x v="32"/>
    <x v="0"/>
  </r>
  <r>
    <n v="23449"/>
    <x v="0"/>
    <x v="1"/>
    <n v="60000"/>
    <n v="2"/>
    <x v="2"/>
    <s v="Professional"/>
    <s v="Yes"/>
    <n v="2"/>
    <x v="2"/>
    <x v="2"/>
    <x v="0"/>
    <x v="28"/>
    <x v="0"/>
  </r>
  <r>
    <n v="23459"/>
    <x v="0"/>
    <x v="1"/>
    <n v="60000"/>
    <n v="2"/>
    <x v="2"/>
    <s v="Professional"/>
    <s v="Yes"/>
    <n v="2"/>
    <x v="2"/>
    <x v="2"/>
    <x v="0"/>
    <x v="5"/>
    <x v="0"/>
  </r>
  <r>
    <n v="19543"/>
    <x v="0"/>
    <x v="1"/>
    <n v="70000"/>
    <n v="5"/>
    <x v="4"/>
    <s v="Professional"/>
    <s v="No"/>
    <n v="3"/>
    <x v="4"/>
    <x v="2"/>
    <x v="0"/>
    <x v="15"/>
    <x v="0"/>
  </r>
  <r>
    <n v="14914"/>
    <x v="0"/>
    <x v="0"/>
    <n v="40000"/>
    <n v="1"/>
    <x v="1"/>
    <s v="Clerical"/>
    <s v="Yes"/>
    <n v="1"/>
    <x v="3"/>
    <x v="2"/>
    <x v="0"/>
    <x v="38"/>
    <x v="1"/>
  </r>
  <r>
    <n v="12033"/>
    <x v="1"/>
    <x v="0"/>
    <n v="40000"/>
    <n v="0"/>
    <x v="2"/>
    <s v="Skilled Manual"/>
    <s v="No"/>
    <n v="2"/>
    <x v="0"/>
    <x v="2"/>
    <x v="2"/>
    <x v="40"/>
    <x v="1"/>
  </r>
  <r>
    <n v="11941"/>
    <x v="1"/>
    <x v="1"/>
    <n v="60000"/>
    <n v="0"/>
    <x v="1"/>
    <s v="Skilled Manual"/>
    <s v="Yes"/>
    <n v="0"/>
    <x v="2"/>
    <x v="2"/>
    <x v="2"/>
    <x v="19"/>
    <x v="0"/>
  </r>
  <r>
    <n v="14389"/>
    <x v="0"/>
    <x v="1"/>
    <n v="60000"/>
    <n v="2"/>
    <x v="0"/>
    <s v="Management"/>
    <s v="Yes"/>
    <n v="0"/>
    <x v="1"/>
    <x v="2"/>
    <x v="1"/>
    <x v="14"/>
    <x v="0"/>
  </r>
  <r>
    <n v="18050"/>
    <x v="0"/>
    <x v="0"/>
    <n v="60000"/>
    <n v="1"/>
    <x v="1"/>
    <s v="Skilled Manual"/>
    <s v="Yes"/>
    <n v="1"/>
    <x v="0"/>
    <x v="2"/>
    <x v="0"/>
    <x v="12"/>
    <x v="1"/>
  </r>
  <r>
    <n v="19856"/>
    <x v="0"/>
    <x v="0"/>
    <n v="60000"/>
    <n v="4"/>
    <x v="0"/>
    <s v="Management"/>
    <s v="Yes"/>
    <n v="2"/>
    <x v="1"/>
    <x v="2"/>
    <x v="1"/>
    <x v="2"/>
    <x v="0"/>
  </r>
  <r>
    <n v="11663"/>
    <x v="0"/>
    <x v="1"/>
    <n v="70000"/>
    <n v="4"/>
    <x v="4"/>
    <s v="Professional"/>
    <s v="Yes"/>
    <n v="0"/>
    <x v="0"/>
    <x v="2"/>
    <x v="0"/>
    <x v="4"/>
    <x v="1"/>
  </r>
  <r>
    <n v="27740"/>
    <x v="0"/>
    <x v="0"/>
    <n v="40000"/>
    <n v="0"/>
    <x v="2"/>
    <s v="Skilled Manual"/>
    <s v="Yes"/>
    <n v="2"/>
    <x v="2"/>
    <x v="2"/>
    <x v="2"/>
    <x v="40"/>
    <x v="0"/>
  </r>
  <r>
    <n v="23455"/>
    <x v="1"/>
    <x v="1"/>
    <n v="80000"/>
    <n v="2"/>
    <x v="3"/>
    <s v="Skilled Manual"/>
    <s v="No"/>
    <n v="2"/>
    <x v="3"/>
    <x v="2"/>
    <x v="0"/>
    <x v="5"/>
    <x v="0"/>
  </r>
  <r>
    <n v="15292"/>
    <x v="1"/>
    <x v="0"/>
    <n v="60000"/>
    <n v="1"/>
    <x v="4"/>
    <s v="Skilled Manual"/>
    <s v="Yes"/>
    <n v="0"/>
    <x v="3"/>
    <x v="2"/>
    <x v="0"/>
    <x v="11"/>
    <x v="0"/>
  </r>
  <r>
    <n v="21587"/>
    <x v="0"/>
    <x v="0"/>
    <n v="60000"/>
    <n v="1"/>
    <x v="4"/>
    <s v="Skilled Manual"/>
    <s v="Yes"/>
    <n v="0"/>
    <x v="1"/>
    <x v="2"/>
    <x v="0"/>
    <x v="17"/>
    <x v="1"/>
  </r>
  <r>
    <n v="23513"/>
    <x v="0"/>
    <x v="0"/>
    <n v="40000"/>
    <n v="3"/>
    <x v="1"/>
    <s v="Professional"/>
    <s v="Yes"/>
    <n v="2"/>
    <x v="2"/>
    <x v="2"/>
    <x v="0"/>
    <x v="9"/>
    <x v="0"/>
  </r>
  <r>
    <n v="24322"/>
    <x v="0"/>
    <x v="0"/>
    <n v="60000"/>
    <n v="4"/>
    <x v="0"/>
    <s v="Skilled Manual"/>
    <s v="No"/>
    <n v="2"/>
    <x v="0"/>
    <x v="2"/>
    <x v="0"/>
    <x v="0"/>
    <x v="0"/>
  </r>
  <r>
    <n v="26298"/>
    <x v="0"/>
    <x v="0"/>
    <n v="50000"/>
    <n v="1"/>
    <x v="0"/>
    <s v="Skilled Manual"/>
    <s v="Yes"/>
    <n v="0"/>
    <x v="1"/>
    <x v="2"/>
    <x v="0"/>
    <x v="17"/>
    <x v="1"/>
  </r>
  <r>
    <n v="25419"/>
    <x v="1"/>
    <x v="1"/>
    <n v="50000"/>
    <n v="2"/>
    <x v="0"/>
    <s v="Skilled Manual"/>
    <s v="No"/>
    <n v="1"/>
    <x v="0"/>
    <x v="2"/>
    <x v="0"/>
    <x v="13"/>
    <x v="1"/>
  </r>
  <r>
    <n v="13343"/>
    <x v="0"/>
    <x v="0"/>
    <n v="90000"/>
    <n v="5"/>
    <x v="0"/>
    <s v="Management"/>
    <s v="Yes"/>
    <n v="2"/>
    <x v="3"/>
    <x v="2"/>
    <x v="1"/>
    <x v="18"/>
    <x v="1"/>
  </r>
  <r>
    <n v="11303"/>
    <x v="1"/>
    <x v="0"/>
    <n v="90000"/>
    <n v="4"/>
    <x v="2"/>
    <s v="Professional"/>
    <s v="No"/>
    <n v="3"/>
    <x v="3"/>
    <x v="2"/>
    <x v="0"/>
    <x v="12"/>
    <x v="1"/>
  </r>
  <r>
    <n v="21693"/>
    <x v="1"/>
    <x v="0"/>
    <n v="60000"/>
    <n v="0"/>
    <x v="4"/>
    <s v="Skilled Manual"/>
    <s v="No"/>
    <n v="0"/>
    <x v="0"/>
    <x v="2"/>
    <x v="0"/>
    <x v="8"/>
    <x v="0"/>
  </r>
  <r>
    <n v="28056"/>
    <x v="0"/>
    <x v="1"/>
    <n v="70000"/>
    <n v="2"/>
    <x v="3"/>
    <s v="Skilled Manual"/>
    <s v="Yes"/>
    <n v="2"/>
    <x v="4"/>
    <x v="2"/>
    <x v="0"/>
    <x v="39"/>
    <x v="0"/>
  </r>
  <r>
    <n v="11788"/>
    <x v="1"/>
    <x v="0"/>
    <n v="70000"/>
    <n v="1"/>
    <x v="4"/>
    <s v="Professional"/>
    <s v="Yes"/>
    <n v="0"/>
    <x v="1"/>
    <x v="2"/>
    <x v="0"/>
    <x v="17"/>
    <x v="0"/>
  </r>
  <r>
    <n v="22296"/>
    <x v="0"/>
    <x v="1"/>
    <n v="70000"/>
    <n v="0"/>
    <x v="0"/>
    <s v="Professional"/>
    <s v="No"/>
    <n v="1"/>
    <x v="0"/>
    <x v="2"/>
    <x v="0"/>
    <x v="13"/>
    <x v="0"/>
  </r>
  <r>
    <n v="15319"/>
    <x v="0"/>
    <x v="0"/>
    <n v="70000"/>
    <n v="4"/>
    <x v="0"/>
    <s v="Management"/>
    <s v="No"/>
    <n v="1"/>
    <x v="3"/>
    <x v="2"/>
    <x v="1"/>
    <x v="14"/>
    <x v="0"/>
  </r>
  <r>
    <n v="17654"/>
    <x v="1"/>
    <x v="0"/>
    <n v="40000"/>
    <n v="3"/>
    <x v="1"/>
    <s v="Clerical"/>
    <s v="Yes"/>
    <n v="1"/>
    <x v="3"/>
    <x v="2"/>
    <x v="2"/>
    <x v="25"/>
    <x v="1"/>
  </r>
  <r>
    <n v="14662"/>
    <x v="0"/>
    <x v="1"/>
    <n v="60000"/>
    <n v="1"/>
    <x v="0"/>
    <s v="Professional"/>
    <s v="Yes"/>
    <n v="1"/>
    <x v="0"/>
    <x v="2"/>
    <x v="0"/>
    <x v="28"/>
    <x v="1"/>
  </r>
  <r>
    <n v="17541"/>
    <x v="0"/>
    <x v="0"/>
    <n v="40000"/>
    <n v="4"/>
    <x v="2"/>
    <s v="Skilled Manual"/>
    <s v="Yes"/>
    <n v="2"/>
    <x v="1"/>
    <x v="2"/>
    <x v="0"/>
    <x v="1"/>
    <x v="0"/>
  </r>
  <r>
    <n v="13886"/>
    <x v="0"/>
    <x v="0"/>
    <n v="70000"/>
    <n v="4"/>
    <x v="4"/>
    <s v="Professional"/>
    <s v="Yes"/>
    <n v="0"/>
    <x v="1"/>
    <x v="2"/>
    <x v="0"/>
    <x v="11"/>
    <x v="1"/>
  </r>
  <r>
    <n v="13073"/>
    <x v="0"/>
    <x v="0"/>
    <n v="60000"/>
    <n v="0"/>
    <x v="1"/>
    <s v="Professional"/>
    <s v="Yes"/>
    <n v="2"/>
    <x v="2"/>
    <x v="2"/>
    <x v="2"/>
    <x v="25"/>
    <x v="0"/>
  </r>
  <r>
    <n v="21940"/>
    <x v="0"/>
    <x v="1"/>
    <n v="90000"/>
    <n v="5"/>
    <x v="4"/>
    <s v="Professional"/>
    <s v="Yes"/>
    <n v="0"/>
    <x v="0"/>
    <x v="2"/>
    <x v="0"/>
    <x v="15"/>
    <x v="1"/>
  </r>
  <r>
    <n v="20196"/>
    <x v="0"/>
    <x v="1"/>
    <n v="60000"/>
    <n v="1"/>
    <x v="1"/>
    <s v="Skilled Manual"/>
    <s v="Yes"/>
    <n v="1"/>
    <x v="1"/>
    <x v="2"/>
    <x v="0"/>
    <x v="12"/>
    <x v="1"/>
  </r>
  <r>
    <n v="23491"/>
    <x v="1"/>
    <x v="1"/>
    <n v="100000"/>
    <n v="0"/>
    <x v="1"/>
    <s v="Professional"/>
    <s v="No"/>
    <n v="4"/>
    <x v="3"/>
    <x v="2"/>
    <x v="0"/>
    <x v="12"/>
    <x v="0"/>
  </r>
  <r>
    <n v="16651"/>
    <x v="0"/>
    <x v="0"/>
    <n v="120000"/>
    <n v="2"/>
    <x v="0"/>
    <s v="Management"/>
    <s v="Yes"/>
    <n v="3"/>
    <x v="2"/>
    <x v="2"/>
    <x v="1"/>
    <x v="24"/>
    <x v="0"/>
  </r>
  <r>
    <n v="16813"/>
    <x v="0"/>
    <x v="1"/>
    <n v="60000"/>
    <n v="2"/>
    <x v="1"/>
    <s v="Professional"/>
    <s v="Yes"/>
    <n v="2"/>
    <x v="4"/>
    <x v="2"/>
    <x v="1"/>
    <x v="10"/>
    <x v="0"/>
  </r>
  <r>
    <n v="16007"/>
    <x v="0"/>
    <x v="0"/>
    <n v="90000"/>
    <n v="5"/>
    <x v="0"/>
    <s v="Management"/>
    <s v="Yes"/>
    <n v="2"/>
    <x v="3"/>
    <x v="2"/>
    <x v="1"/>
    <x v="29"/>
    <x v="1"/>
  </r>
  <r>
    <n v="27434"/>
    <x v="1"/>
    <x v="1"/>
    <n v="70000"/>
    <n v="4"/>
    <x v="1"/>
    <s v="Professional"/>
    <s v="Yes"/>
    <n v="1"/>
    <x v="4"/>
    <x v="2"/>
    <x v="1"/>
    <x v="16"/>
    <x v="0"/>
  </r>
  <r>
    <n v="27756"/>
    <x v="1"/>
    <x v="0"/>
    <n v="50000"/>
    <n v="3"/>
    <x v="0"/>
    <s v="Skilled Manual"/>
    <s v="No"/>
    <n v="1"/>
    <x v="0"/>
    <x v="2"/>
    <x v="0"/>
    <x v="8"/>
    <x v="0"/>
  </r>
  <r>
    <n v="23818"/>
    <x v="0"/>
    <x v="0"/>
    <n v="50000"/>
    <n v="0"/>
    <x v="4"/>
    <s v="Skilled Manual"/>
    <s v="Yes"/>
    <n v="0"/>
    <x v="3"/>
    <x v="2"/>
    <x v="0"/>
    <x v="6"/>
    <x v="1"/>
  </r>
  <r>
    <n v="19012"/>
    <x v="0"/>
    <x v="1"/>
    <n v="80000"/>
    <n v="3"/>
    <x v="0"/>
    <s v="Management"/>
    <s v="Yes"/>
    <n v="1"/>
    <x v="3"/>
    <x v="2"/>
    <x v="1"/>
    <x v="16"/>
    <x v="0"/>
  </r>
  <r>
    <n v="18329"/>
    <x v="1"/>
    <x v="1"/>
    <n v="30000"/>
    <n v="0"/>
    <x v="3"/>
    <s v="Clerical"/>
    <s v="No"/>
    <n v="2"/>
    <x v="2"/>
    <x v="2"/>
    <x v="2"/>
    <x v="40"/>
    <x v="0"/>
  </r>
  <r>
    <n v="29037"/>
    <x v="0"/>
    <x v="1"/>
    <n v="60000"/>
    <n v="0"/>
    <x v="4"/>
    <s v="Professional"/>
    <s v="No"/>
    <n v="0"/>
    <x v="0"/>
    <x v="2"/>
    <x v="0"/>
    <x v="32"/>
    <x v="0"/>
  </r>
  <r>
    <n v="26576"/>
    <x v="0"/>
    <x v="0"/>
    <n v="60000"/>
    <n v="0"/>
    <x v="1"/>
    <s v="Skilled Manual"/>
    <s v="Yes"/>
    <n v="2"/>
    <x v="2"/>
    <x v="2"/>
    <x v="0"/>
    <x v="23"/>
    <x v="0"/>
  </r>
  <r>
    <n v="12192"/>
    <x v="1"/>
    <x v="0"/>
    <n v="60000"/>
    <n v="2"/>
    <x v="3"/>
    <s v="Skilled Manual"/>
    <s v="No"/>
    <n v="2"/>
    <x v="3"/>
    <x v="2"/>
    <x v="0"/>
    <x v="36"/>
    <x v="0"/>
  </r>
  <r>
    <n v="14887"/>
    <x v="0"/>
    <x v="0"/>
    <n v="30000"/>
    <n v="1"/>
    <x v="2"/>
    <s v="Clerical"/>
    <s v="Yes"/>
    <n v="1"/>
    <x v="2"/>
    <x v="2"/>
    <x v="0"/>
    <x v="31"/>
    <x v="0"/>
  </r>
  <r>
    <n v="11734"/>
    <x v="0"/>
    <x v="1"/>
    <n v="60000"/>
    <n v="1"/>
    <x v="1"/>
    <s v="Skilled Manual"/>
    <s v="No"/>
    <n v="1"/>
    <x v="0"/>
    <x v="2"/>
    <x v="0"/>
    <x v="15"/>
    <x v="0"/>
  </r>
  <r>
    <n v="17462"/>
    <x v="0"/>
    <x v="1"/>
    <n v="70000"/>
    <n v="3"/>
    <x v="4"/>
    <s v="Management"/>
    <s v="Yes"/>
    <n v="2"/>
    <x v="2"/>
    <x v="2"/>
    <x v="0"/>
    <x v="39"/>
    <x v="1"/>
  </r>
  <r>
    <n v="20659"/>
    <x v="0"/>
    <x v="1"/>
    <n v="70000"/>
    <n v="3"/>
    <x v="4"/>
    <s v="Professional"/>
    <s v="Yes"/>
    <n v="0"/>
    <x v="0"/>
    <x v="2"/>
    <x v="0"/>
    <x v="11"/>
    <x v="1"/>
  </r>
  <r>
    <n v="28004"/>
    <x v="0"/>
    <x v="0"/>
    <n v="60000"/>
    <n v="3"/>
    <x v="0"/>
    <s v="Management"/>
    <s v="Yes"/>
    <n v="2"/>
    <x v="4"/>
    <x v="2"/>
    <x v="1"/>
    <x v="29"/>
    <x v="0"/>
  </r>
  <r>
    <n v="19741"/>
    <x v="1"/>
    <x v="0"/>
    <n v="80000"/>
    <n v="4"/>
    <x v="4"/>
    <s v="Management"/>
    <s v="Yes"/>
    <n v="2"/>
    <x v="2"/>
    <x v="2"/>
    <x v="1"/>
    <x v="27"/>
    <x v="0"/>
  </r>
  <r>
    <n v="17450"/>
    <x v="0"/>
    <x v="1"/>
    <n v="80000"/>
    <n v="5"/>
    <x v="1"/>
    <s v="Professional"/>
    <s v="Yes"/>
    <n v="3"/>
    <x v="2"/>
    <x v="2"/>
    <x v="0"/>
    <x v="12"/>
    <x v="0"/>
  </r>
  <r>
    <n v="17337"/>
    <x v="1"/>
    <x v="1"/>
    <n v="40000"/>
    <n v="0"/>
    <x v="2"/>
    <s v="Skilled Manual"/>
    <s v="Yes"/>
    <n v="1"/>
    <x v="2"/>
    <x v="2"/>
    <x v="0"/>
    <x v="23"/>
    <x v="0"/>
  </r>
  <r>
    <n v="18594"/>
    <x v="1"/>
    <x v="0"/>
    <n v="80000"/>
    <n v="3"/>
    <x v="0"/>
    <s v="Skilled Manual"/>
    <s v="Yes"/>
    <n v="3"/>
    <x v="4"/>
    <x v="2"/>
    <x v="0"/>
    <x v="8"/>
    <x v="1"/>
  </r>
  <r>
    <n v="15982"/>
    <x v="0"/>
    <x v="1"/>
    <n v="110000"/>
    <n v="5"/>
    <x v="1"/>
    <s v="Professional"/>
    <s v="Yes"/>
    <n v="4"/>
    <x v="1"/>
    <x v="2"/>
    <x v="0"/>
    <x v="30"/>
    <x v="0"/>
  </r>
  <r>
    <n v="28625"/>
    <x v="1"/>
    <x v="1"/>
    <n v="40000"/>
    <n v="2"/>
    <x v="1"/>
    <s v="Clerical"/>
    <s v="No"/>
    <n v="1"/>
    <x v="3"/>
    <x v="2"/>
    <x v="0"/>
    <x v="15"/>
    <x v="1"/>
  </r>
  <r>
    <n v="11269"/>
    <x v="0"/>
    <x v="1"/>
    <n v="130000"/>
    <n v="2"/>
    <x v="4"/>
    <s v="Management"/>
    <s v="Yes"/>
    <n v="2"/>
    <x v="0"/>
    <x v="2"/>
    <x v="0"/>
    <x v="3"/>
    <x v="0"/>
  </r>
  <r>
    <n v="25148"/>
    <x v="0"/>
    <x v="1"/>
    <n v="60000"/>
    <n v="2"/>
    <x v="2"/>
    <s v="Professional"/>
    <s v="No"/>
    <n v="2"/>
    <x v="3"/>
    <x v="2"/>
    <x v="0"/>
    <x v="28"/>
    <x v="1"/>
  </r>
  <r>
    <n v="13920"/>
    <x v="1"/>
    <x v="0"/>
    <n v="50000"/>
    <n v="4"/>
    <x v="0"/>
    <s v="Skilled Manual"/>
    <s v="Yes"/>
    <n v="2"/>
    <x v="0"/>
    <x v="2"/>
    <x v="0"/>
    <x v="0"/>
    <x v="0"/>
  </r>
  <r>
    <n v="23704"/>
    <x v="1"/>
    <x v="1"/>
    <n v="40000"/>
    <n v="5"/>
    <x v="2"/>
    <s v="Professional"/>
    <s v="Yes"/>
    <n v="4"/>
    <x v="4"/>
    <x v="2"/>
    <x v="1"/>
    <x v="2"/>
    <x v="1"/>
  </r>
  <r>
    <n v="28972"/>
    <x v="1"/>
    <x v="0"/>
    <n v="60000"/>
    <n v="3"/>
    <x v="4"/>
    <s v="Management"/>
    <s v="Yes"/>
    <n v="2"/>
    <x v="4"/>
    <x v="2"/>
    <x v="1"/>
    <x v="29"/>
    <x v="0"/>
  </r>
  <r>
    <n v="22730"/>
    <x v="0"/>
    <x v="1"/>
    <n v="70000"/>
    <n v="5"/>
    <x v="0"/>
    <s v="Management"/>
    <s v="Yes"/>
    <n v="2"/>
    <x v="4"/>
    <x v="2"/>
    <x v="1"/>
    <x v="18"/>
    <x v="0"/>
  </r>
  <r>
    <n v="29134"/>
    <x v="0"/>
    <x v="1"/>
    <n v="60000"/>
    <n v="4"/>
    <x v="0"/>
    <s v="Skilled Manual"/>
    <s v="No"/>
    <n v="3"/>
    <x v="4"/>
    <x v="2"/>
    <x v="0"/>
    <x v="0"/>
    <x v="0"/>
  </r>
  <r>
    <n v="14332"/>
    <x v="1"/>
    <x v="0"/>
    <n v="30000"/>
    <n v="0"/>
    <x v="2"/>
    <s v="Skilled Manual"/>
    <s v="No"/>
    <n v="2"/>
    <x v="2"/>
    <x v="2"/>
    <x v="2"/>
    <x v="22"/>
    <x v="0"/>
  </r>
  <r>
    <n v="19117"/>
    <x v="1"/>
    <x v="0"/>
    <n v="60000"/>
    <n v="1"/>
    <x v="4"/>
    <s v="Professional"/>
    <s v="Yes"/>
    <n v="0"/>
    <x v="1"/>
    <x v="2"/>
    <x v="0"/>
    <x v="4"/>
    <x v="1"/>
  </r>
  <r>
    <n v="22864"/>
    <x v="0"/>
    <x v="1"/>
    <n v="90000"/>
    <n v="2"/>
    <x v="1"/>
    <s v="Professional"/>
    <s v="No"/>
    <n v="0"/>
    <x v="2"/>
    <x v="2"/>
    <x v="0"/>
    <x v="38"/>
    <x v="1"/>
  </r>
  <r>
    <n v="11292"/>
    <x v="1"/>
    <x v="1"/>
    <n v="150000"/>
    <n v="1"/>
    <x v="1"/>
    <s v="Professional"/>
    <s v="No"/>
    <n v="3"/>
    <x v="0"/>
    <x v="2"/>
    <x v="0"/>
    <x v="20"/>
    <x v="1"/>
  </r>
  <r>
    <n v="13466"/>
    <x v="0"/>
    <x v="1"/>
    <n v="80000"/>
    <n v="5"/>
    <x v="1"/>
    <s v="Professional"/>
    <s v="Yes"/>
    <n v="3"/>
    <x v="3"/>
    <x v="2"/>
    <x v="0"/>
    <x v="30"/>
    <x v="0"/>
  </r>
  <r>
    <n v="23731"/>
    <x v="0"/>
    <x v="1"/>
    <n v="60000"/>
    <n v="2"/>
    <x v="2"/>
    <s v="Professional"/>
    <s v="Yes"/>
    <n v="2"/>
    <x v="1"/>
    <x v="2"/>
    <x v="0"/>
    <x v="9"/>
    <x v="1"/>
  </r>
  <r>
    <n v="28672"/>
    <x v="1"/>
    <x v="1"/>
    <n v="70000"/>
    <n v="4"/>
    <x v="4"/>
    <s v="Professional"/>
    <s v="Yes"/>
    <n v="0"/>
    <x v="1"/>
    <x v="2"/>
    <x v="0"/>
    <x v="11"/>
    <x v="1"/>
  </r>
  <r>
    <n v="11809"/>
    <x v="0"/>
    <x v="1"/>
    <n v="60000"/>
    <n v="2"/>
    <x v="0"/>
    <s v="Skilled Manual"/>
    <s v="Yes"/>
    <n v="0"/>
    <x v="0"/>
    <x v="2"/>
    <x v="0"/>
    <x v="13"/>
    <x v="1"/>
  </r>
  <r>
    <n v="19664"/>
    <x v="1"/>
    <x v="1"/>
    <n v="100000"/>
    <n v="3"/>
    <x v="0"/>
    <s v="Management"/>
    <s v="No"/>
    <n v="3"/>
    <x v="3"/>
    <x v="2"/>
    <x v="0"/>
    <x v="13"/>
    <x v="0"/>
  </r>
  <r>
    <n v="12121"/>
    <x v="1"/>
    <x v="1"/>
    <n v="60000"/>
    <n v="3"/>
    <x v="2"/>
    <s v="Professional"/>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5AFAC-3072-4B8C-AB81-D8B9D9AA27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1BFDC2-5777-4FBB-B153-30FD089F06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C097EE-493C-4BE9-8D90-13DA7F355B2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4:D1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0EDDC6-BEF7-446A-AD80-E3339F1FF6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1:D5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4B8C27D-4C83-4DE7-97C8-279CE3E555F6}" sourceName="Marital Status">
  <pivotTables>
    <pivotTable tabId="3" name="PivotTable1"/>
    <pivotTable tabId="3" name="PivotTable2"/>
    <pivotTable tabId="3" name="PivotTable3"/>
    <pivotTable tabId="3" name="PivotTable5"/>
  </pivotTables>
  <data>
    <tabular pivotCacheId="4362757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EF2E603-A6C3-4EDF-B69E-003E7DF74C50}" sourceName="Education">
  <pivotTables>
    <pivotTable tabId="3" name="PivotTable1"/>
    <pivotTable tabId="3" name="PivotTable2"/>
    <pivotTable tabId="3" name="PivotTable3"/>
    <pivotTable tabId="3" name="PivotTable5"/>
  </pivotTables>
  <data>
    <tabular pivotCacheId="43627571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C744BE-C141-40EE-A2F1-A8F3E5FC5547}" sourceName="Region">
  <pivotTables>
    <pivotTable tabId="3" name="PivotTable1"/>
    <pivotTable tabId="3" name="PivotTable2"/>
    <pivotTable tabId="3" name="PivotTable3"/>
    <pivotTable tabId="3" name="PivotTable5"/>
  </pivotTables>
  <data>
    <tabular pivotCacheId="4362757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D8E3F46-65C3-45C7-A045-500DA0B08C31}" cache="Slicer_Marital_Status" caption="Marital Status" rowHeight="234950"/>
  <slicer name="Education" xr10:uid="{C4860AD9-61C1-4B44-BCF9-362E220F405E}" cache="Slicer_Education" caption="Education" rowHeight="234950"/>
  <slicer name="Region" xr10:uid="{DB80C583-0DAD-4C37-8F8A-301DF30C18F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22FE7-DC00-441B-9820-944CC59F3068}">
  <dimension ref="A1:O6"/>
  <sheetViews>
    <sheetView showGridLines="0" tabSelected="1" zoomScale="93" workbookViewId="0">
      <selection activeCell="P8" sqref="P8"/>
    </sheetView>
  </sheetViews>
  <sheetFormatPr defaultRowHeight="14.4" x14ac:dyDescent="0.3"/>
  <sheetData>
    <row r="1" spans="1:15" ht="15.6" customHeight="1" x14ac:dyDescent="0.3">
      <c r="A1" s="11"/>
      <c r="B1" s="11"/>
      <c r="C1" s="11"/>
      <c r="D1" s="11"/>
      <c r="E1" s="11"/>
      <c r="F1" s="11"/>
      <c r="G1" s="11"/>
      <c r="H1" s="11"/>
      <c r="I1" s="8"/>
      <c r="J1" s="8"/>
      <c r="K1" s="8"/>
      <c r="L1" s="8"/>
      <c r="M1" s="8"/>
      <c r="N1" s="8"/>
      <c r="O1" s="7"/>
    </row>
    <row r="2" spans="1:15" x14ac:dyDescent="0.3">
      <c r="A2" s="11"/>
      <c r="B2" s="11"/>
      <c r="C2" s="11"/>
      <c r="D2" s="11"/>
      <c r="E2" s="11"/>
      <c r="F2" s="11"/>
      <c r="G2" s="11"/>
      <c r="H2" s="11"/>
      <c r="I2" s="8"/>
      <c r="J2" s="8"/>
      <c r="K2" s="8"/>
      <c r="L2" s="8"/>
      <c r="M2" s="8"/>
      <c r="N2" s="8"/>
      <c r="O2" s="7"/>
    </row>
    <row r="3" spans="1:15" ht="14.4" customHeight="1" x14ac:dyDescent="0.3">
      <c r="A3" s="8"/>
      <c r="B3" s="8"/>
      <c r="C3" s="8"/>
      <c r="D3" s="8"/>
      <c r="E3" s="9"/>
      <c r="F3" s="8"/>
      <c r="G3" s="8"/>
      <c r="H3" s="8"/>
      <c r="I3" s="8"/>
      <c r="J3" s="8"/>
      <c r="K3" s="8"/>
      <c r="L3" s="8"/>
      <c r="M3" s="8"/>
      <c r="N3" s="8"/>
      <c r="O3" s="7"/>
    </row>
    <row r="4" spans="1:15" ht="17.399999999999999" customHeight="1" x14ac:dyDescent="0.3">
      <c r="A4" s="8"/>
      <c r="B4" s="8"/>
      <c r="C4" s="8"/>
      <c r="D4" s="8"/>
      <c r="E4" s="8"/>
      <c r="F4" s="8"/>
      <c r="G4" s="8"/>
      <c r="H4" s="8"/>
      <c r="I4" s="8"/>
      <c r="J4" s="8"/>
      <c r="K4" s="8"/>
      <c r="L4" s="8"/>
      <c r="M4" s="8"/>
      <c r="N4" s="8"/>
      <c r="O4" s="7"/>
    </row>
    <row r="5" spans="1:15" ht="4.8" customHeight="1" x14ac:dyDescent="0.3">
      <c r="A5" s="10"/>
      <c r="B5" s="10"/>
      <c r="C5" s="10"/>
      <c r="D5" s="10"/>
      <c r="E5" s="10"/>
      <c r="F5" s="10"/>
      <c r="G5" s="10"/>
      <c r="H5" s="10"/>
      <c r="I5" s="8"/>
      <c r="J5" s="8"/>
      <c r="K5" s="8"/>
      <c r="L5" s="8"/>
      <c r="M5" s="8"/>
      <c r="N5" s="8"/>
      <c r="O5" s="7"/>
    </row>
    <row r="6" spans="1:15" ht="14.4" customHeight="1" x14ac:dyDescent="0.3">
      <c r="A6" s="7"/>
      <c r="B6" s="7"/>
      <c r="C6" s="7"/>
      <c r="D6" s="7"/>
      <c r="E6" s="7"/>
      <c r="F6" s="7"/>
      <c r="G6" s="7"/>
      <c r="H6" s="7"/>
      <c r="I6" s="7"/>
      <c r="J6" s="7"/>
      <c r="K6" s="7"/>
      <c r="L6" s="7"/>
      <c r="M6" s="7"/>
      <c r="N6" s="7"/>
      <c r="O6" s="7"/>
    </row>
  </sheetData>
  <mergeCells count="2">
    <mergeCell ref="A5:H5"/>
    <mergeCell ref="A1: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BE16-096B-4B67-817B-E03218CE09E5}">
  <dimension ref="A3:D129"/>
  <sheetViews>
    <sheetView topLeftCell="A51" zoomScale="86" workbookViewId="0">
      <selection activeCell="F75" sqref="F75"/>
    </sheetView>
  </sheetViews>
  <sheetFormatPr defaultRowHeight="14.4" x14ac:dyDescent="0.3"/>
  <cols>
    <col min="1" max="1" width="22.88671875" bestFit="1" customWidth="1"/>
    <col min="2" max="2" width="16.21875" bestFit="1" customWidth="1"/>
    <col min="3" max="3" width="4" bestFit="1" customWidth="1"/>
    <col min="4" max="4" width="11.33203125" bestFit="1" customWidth="1"/>
  </cols>
  <sheetData>
    <row r="3" spans="1:4" x14ac:dyDescent="0.3">
      <c r="A3" s="4" t="s">
        <v>43</v>
      </c>
      <c r="B3" s="4" t="s">
        <v>44</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26" spans="1:4" x14ac:dyDescent="0.3">
      <c r="A26" s="4" t="s">
        <v>45</v>
      </c>
      <c r="B26" s="4" t="s">
        <v>44</v>
      </c>
    </row>
    <row r="27" spans="1:4" x14ac:dyDescent="0.3">
      <c r="A27" s="4" t="s">
        <v>41</v>
      </c>
      <c r="B27" t="s">
        <v>18</v>
      </c>
      <c r="C27" t="s">
        <v>15</v>
      </c>
      <c r="D27" t="s">
        <v>42</v>
      </c>
    </row>
    <row r="28" spans="1:4" x14ac:dyDescent="0.3">
      <c r="A28" s="5" t="s">
        <v>16</v>
      </c>
      <c r="B28">
        <v>166</v>
      </c>
      <c r="C28">
        <v>200</v>
      </c>
      <c r="D28">
        <v>366</v>
      </c>
    </row>
    <row r="29" spans="1:4" x14ac:dyDescent="0.3">
      <c r="A29" s="5" t="s">
        <v>26</v>
      </c>
      <c r="B29">
        <v>92</v>
      </c>
      <c r="C29">
        <v>77</v>
      </c>
      <c r="D29">
        <v>169</v>
      </c>
    </row>
    <row r="30" spans="1:4" x14ac:dyDescent="0.3">
      <c r="A30" s="5" t="s">
        <v>22</v>
      </c>
      <c r="B30">
        <v>67</v>
      </c>
      <c r="C30">
        <v>95</v>
      </c>
      <c r="D30">
        <v>162</v>
      </c>
    </row>
    <row r="31" spans="1:4" x14ac:dyDescent="0.3">
      <c r="A31" s="5" t="s">
        <v>23</v>
      </c>
      <c r="B31">
        <v>116</v>
      </c>
      <c r="C31">
        <v>76</v>
      </c>
      <c r="D31">
        <v>192</v>
      </c>
    </row>
    <row r="32" spans="1:4" x14ac:dyDescent="0.3">
      <c r="A32" s="5" t="s">
        <v>46</v>
      </c>
      <c r="B32">
        <v>78</v>
      </c>
      <c r="C32">
        <v>33</v>
      </c>
      <c r="D32">
        <v>111</v>
      </c>
    </row>
    <row r="33" spans="1:4" x14ac:dyDescent="0.3">
      <c r="A33" s="5" t="s">
        <v>42</v>
      </c>
      <c r="B33">
        <v>519</v>
      </c>
      <c r="C33">
        <v>481</v>
      </c>
      <c r="D33">
        <v>1000</v>
      </c>
    </row>
    <row r="51" spans="1:4" x14ac:dyDescent="0.3">
      <c r="A51" s="4" t="s">
        <v>45</v>
      </c>
      <c r="B51" s="4" t="s">
        <v>44</v>
      </c>
    </row>
    <row r="52" spans="1:4" x14ac:dyDescent="0.3">
      <c r="A52" s="4" t="s">
        <v>41</v>
      </c>
      <c r="B52" t="s">
        <v>18</v>
      </c>
      <c r="C52" t="s">
        <v>15</v>
      </c>
      <c r="D52" t="s">
        <v>42</v>
      </c>
    </row>
    <row r="53" spans="1:4" x14ac:dyDescent="0.3">
      <c r="A53" s="5" t="s">
        <v>47</v>
      </c>
      <c r="B53">
        <v>71</v>
      </c>
      <c r="C53">
        <v>39</v>
      </c>
      <c r="D53">
        <v>110</v>
      </c>
    </row>
    <row r="54" spans="1:4" x14ac:dyDescent="0.3">
      <c r="A54" s="5" t="s">
        <v>48</v>
      </c>
      <c r="B54">
        <v>318</v>
      </c>
      <c r="C54">
        <v>383</v>
      </c>
      <c r="D54">
        <v>701</v>
      </c>
    </row>
    <row r="55" spans="1:4" x14ac:dyDescent="0.3">
      <c r="A55" s="5" t="s">
        <v>49</v>
      </c>
      <c r="B55">
        <v>130</v>
      </c>
      <c r="C55">
        <v>59</v>
      </c>
      <c r="D55">
        <v>189</v>
      </c>
    </row>
    <row r="56" spans="1:4" x14ac:dyDescent="0.3">
      <c r="A56" s="5" t="s">
        <v>42</v>
      </c>
      <c r="B56">
        <v>519</v>
      </c>
      <c r="C56">
        <v>481</v>
      </c>
      <c r="D56">
        <v>1000</v>
      </c>
    </row>
    <row r="74" spans="1:4" x14ac:dyDescent="0.3">
      <c r="A74" s="4" t="s">
        <v>45</v>
      </c>
      <c r="B74" s="4" t="s">
        <v>44</v>
      </c>
    </row>
    <row r="75" spans="1:4" x14ac:dyDescent="0.3">
      <c r="A75" s="4" t="s">
        <v>41</v>
      </c>
      <c r="B75" t="s">
        <v>18</v>
      </c>
      <c r="C75" t="s">
        <v>15</v>
      </c>
      <c r="D75" t="s">
        <v>42</v>
      </c>
    </row>
    <row r="76" spans="1:4" x14ac:dyDescent="0.3">
      <c r="A76" s="5">
        <v>25</v>
      </c>
      <c r="B76">
        <v>2</v>
      </c>
      <c r="C76">
        <v>4</v>
      </c>
      <c r="D76">
        <v>6</v>
      </c>
    </row>
    <row r="77" spans="1:4" x14ac:dyDescent="0.3">
      <c r="A77" s="5">
        <v>26</v>
      </c>
      <c r="B77">
        <v>8</v>
      </c>
      <c r="C77">
        <v>8</v>
      </c>
      <c r="D77">
        <v>16</v>
      </c>
    </row>
    <row r="78" spans="1:4" x14ac:dyDescent="0.3">
      <c r="A78" s="5">
        <v>27</v>
      </c>
      <c r="B78">
        <v>15</v>
      </c>
      <c r="C78">
        <v>8</v>
      </c>
      <c r="D78">
        <v>23</v>
      </c>
    </row>
    <row r="79" spans="1:4" x14ac:dyDescent="0.3">
      <c r="A79" s="5">
        <v>28</v>
      </c>
      <c r="B79">
        <v>12</v>
      </c>
      <c r="C79">
        <v>10</v>
      </c>
      <c r="D79">
        <v>22</v>
      </c>
    </row>
    <row r="80" spans="1:4" x14ac:dyDescent="0.3">
      <c r="A80" s="5">
        <v>29</v>
      </c>
      <c r="B80">
        <v>11</v>
      </c>
      <c r="C80">
        <v>5</v>
      </c>
      <c r="D80">
        <v>16</v>
      </c>
    </row>
    <row r="81" spans="1:4" x14ac:dyDescent="0.3">
      <c r="A81" s="5">
        <v>30</v>
      </c>
      <c r="B81">
        <v>23</v>
      </c>
      <c r="C81">
        <v>4</v>
      </c>
      <c r="D81">
        <v>27</v>
      </c>
    </row>
    <row r="82" spans="1:4" x14ac:dyDescent="0.3">
      <c r="A82" s="5">
        <v>31</v>
      </c>
      <c r="B82">
        <v>17</v>
      </c>
      <c r="C82">
        <v>8</v>
      </c>
      <c r="D82">
        <v>25</v>
      </c>
    </row>
    <row r="83" spans="1:4" x14ac:dyDescent="0.3">
      <c r="A83" s="5">
        <v>32</v>
      </c>
      <c r="B83">
        <v>19</v>
      </c>
      <c r="C83">
        <v>14</v>
      </c>
      <c r="D83">
        <v>33</v>
      </c>
    </row>
    <row r="84" spans="1:4" x14ac:dyDescent="0.3">
      <c r="A84" s="5">
        <v>33</v>
      </c>
      <c r="B84">
        <v>8</v>
      </c>
      <c r="C84">
        <v>13</v>
      </c>
      <c r="D84">
        <v>21</v>
      </c>
    </row>
    <row r="85" spans="1:4" x14ac:dyDescent="0.3">
      <c r="A85" s="5">
        <v>34</v>
      </c>
      <c r="B85">
        <v>12</v>
      </c>
      <c r="C85">
        <v>19</v>
      </c>
      <c r="D85">
        <v>31</v>
      </c>
    </row>
    <row r="86" spans="1:4" x14ac:dyDescent="0.3">
      <c r="A86" s="5">
        <v>35</v>
      </c>
      <c r="B86">
        <v>14</v>
      </c>
      <c r="C86">
        <v>22</v>
      </c>
      <c r="D86">
        <v>36</v>
      </c>
    </row>
    <row r="87" spans="1:4" x14ac:dyDescent="0.3">
      <c r="A87" s="5">
        <v>36</v>
      </c>
      <c r="B87">
        <v>7</v>
      </c>
      <c r="C87">
        <v>30</v>
      </c>
      <c r="D87">
        <v>37</v>
      </c>
    </row>
    <row r="88" spans="1:4" x14ac:dyDescent="0.3">
      <c r="A88" s="5">
        <v>37</v>
      </c>
      <c r="B88">
        <v>4</v>
      </c>
      <c r="C88">
        <v>28</v>
      </c>
      <c r="D88">
        <v>32</v>
      </c>
    </row>
    <row r="89" spans="1:4" x14ac:dyDescent="0.3">
      <c r="A89" s="5">
        <v>38</v>
      </c>
      <c r="B89">
        <v>8</v>
      </c>
      <c r="C89">
        <v>29</v>
      </c>
      <c r="D89">
        <v>37</v>
      </c>
    </row>
    <row r="90" spans="1:4" x14ac:dyDescent="0.3">
      <c r="A90" s="5">
        <v>39</v>
      </c>
      <c r="B90">
        <v>10</v>
      </c>
      <c r="C90">
        <v>12</v>
      </c>
      <c r="D90">
        <v>22</v>
      </c>
    </row>
    <row r="91" spans="1:4" x14ac:dyDescent="0.3">
      <c r="A91" s="5">
        <v>40</v>
      </c>
      <c r="B91">
        <v>24</v>
      </c>
      <c r="C91">
        <v>18</v>
      </c>
      <c r="D91">
        <v>42</v>
      </c>
    </row>
    <row r="92" spans="1:4" x14ac:dyDescent="0.3">
      <c r="A92" s="5">
        <v>41</v>
      </c>
      <c r="B92">
        <v>13</v>
      </c>
      <c r="C92">
        <v>15</v>
      </c>
      <c r="D92">
        <v>28</v>
      </c>
    </row>
    <row r="93" spans="1:4" x14ac:dyDescent="0.3">
      <c r="A93" s="5">
        <v>42</v>
      </c>
      <c r="B93">
        <v>22</v>
      </c>
      <c r="C93">
        <v>12</v>
      </c>
      <c r="D93">
        <v>34</v>
      </c>
    </row>
    <row r="94" spans="1:4" x14ac:dyDescent="0.3">
      <c r="A94" s="5">
        <v>43</v>
      </c>
      <c r="B94">
        <v>17</v>
      </c>
      <c r="C94">
        <v>19</v>
      </c>
      <c r="D94">
        <v>36</v>
      </c>
    </row>
    <row r="95" spans="1:4" x14ac:dyDescent="0.3">
      <c r="A95" s="5">
        <v>44</v>
      </c>
      <c r="B95">
        <v>15</v>
      </c>
      <c r="C95">
        <v>12</v>
      </c>
      <c r="D95">
        <v>27</v>
      </c>
    </row>
    <row r="96" spans="1:4" x14ac:dyDescent="0.3">
      <c r="A96" s="5">
        <v>45</v>
      </c>
      <c r="B96">
        <v>18</v>
      </c>
      <c r="C96">
        <v>13</v>
      </c>
      <c r="D96">
        <v>31</v>
      </c>
    </row>
    <row r="97" spans="1:4" x14ac:dyDescent="0.3">
      <c r="A97" s="5">
        <v>46</v>
      </c>
      <c r="B97">
        <v>12</v>
      </c>
      <c r="C97">
        <v>15</v>
      </c>
      <c r="D97">
        <v>27</v>
      </c>
    </row>
    <row r="98" spans="1:4" x14ac:dyDescent="0.3">
      <c r="A98" s="5">
        <v>47</v>
      </c>
      <c r="B98">
        <v>19</v>
      </c>
      <c r="C98">
        <v>20</v>
      </c>
      <c r="D98">
        <v>39</v>
      </c>
    </row>
    <row r="99" spans="1:4" x14ac:dyDescent="0.3">
      <c r="A99" s="5">
        <v>48</v>
      </c>
      <c r="B99">
        <v>16</v>
      </c>
      <c r="C99">
        <v>13</v>
      </c>
      <c r="D99">
        <v>29</v>
      </c>
    </row>
    <row r="100" spans="1:4" x14ac:dyDescent="0.3">
      <c r="A100" s="5">
        <v>49</v>
      </c>
      <c r="B100">
        <v>15</v>
      </c>
      <c r="C100">
        <v>8</v>
      </c>
      <c r="D100">
        <v>23</v>
      </c>
    </row>
    <row r="101" spans="1:4" x14ac:dyDescent="0.3">
      <c r="A101" s="5">
        <v>50</v>
      </c>
      <c r="B101">
        <v>12</v>
      </c>
      <c r="C101">
        <v>12</v>
      </c>
      <c r="D101">
        <v>24</v>
      </c>
    </row>
    <row r="102" spans="1:4" x14ac:dyDescent="0.3">
      <c r="A102" s="5">
        <v>51</v>
      </c>
      <c r="B102">
        <v>10</v>
      </c>
      <c r="C102">
        <v>12</v>
      </c>
      <c r="D102">
        <v>22</v>
      </c>
    </row>
    <row r="103" spans="1:4" x14ac:dyDescent="0.3">
      <c r="A103" s="5">
        <v>52</v>
      </c>
      <c r="B103">
        <v>10</v>
      </c>
      <c r="C103">
        <v>15</v>
      </c>
      <c r="D103">
        <v>25</v>
      </c>
    </row>
    <row r="104" spans="1:4" x14ac:dyDescent="0.3">
      <c r="A104" s="5">
        <v>53</v>
      </c>
      <c r="B104">
        <v>11</v>
      </c>
      <c r="C104">
        <v>13</v>
      </c>
      <c r="D104">
        <v>24</v>
      </c>
    </row>
    <row r="105" spans="1:4" x14ac:dyDescent="0.3">
      <c r="A105" s="5">
        <v>54</v>
      </c>
      <c r="B105">
        <v>5</v>
      </c>
      <c r="C105">
        <v>11</v>
      </c>
      <c r="D105">
        <v>16</v>
      </c>
    </row>
    <row r="106" spans="1:4" x14ac:dyDescent="0.3">
      <c r="A106" s="5">
        <v>55</v>
      </c>
      <c r="B106">
        <v>13</v>
      </c>
      <c r="C106">
        <v>5</v>
      </c>
      <c r="D106">
        <v>18</v>
      </c>
    </row>
    <row r="107" spans="1:4" x14ac:dyDescent="0.3">
      <c r="A107" s="5">
        <v>56</v>
      </c>
      <c r="B107">
        <v>13</v>
      </c>
      <c r="C107">
        <v>3</v>
      </c>
      <c r="D107">
        <v>16</v>
      </c>
    </row>
    <row r="108" spans="1:4" x14ac:dyDescent="0.3">
      <c r="A108" s="5">
        <v>57</v>
      </c>
      <c r="B108">
        <v>4</v>
      </c>
      <c r="C108">
        <v>4</v>
      </c>
      <c r="D108">
        <v>8</v>
      </c>
    </row>
    <row r="109" spans="1:4" x14ac:dyDescent="0.3">
      <c r="A109" s="5">
        <v>58</v>
      </c>
      <c r="B109">
        <v>8</v>
      </c>
      <c r="C109">
        <v>4</v>
      </c>
      <c r="D109">
        <v>12</v>
      </c>
    </row>
    <row r="110" spans="1:4" x14ac:dyDescent="0.3">
      <c r="A110" s="5">
        <v>59</v>
      </c>
      <c r="B110">
        <v>14</v>
      </c>
      <c r="C110">
        <v>6</v>
      </c>
      <c r="D110">
        <v>20</v>
      </c>
    </row>
    <row r="111" spans="1:4" x14ac:dyDescent="0.3">
      <c r="A111" s="5">
        <v>60</v>
      </c>
      <c r="B111">
        <v>8</v>
      </c>
      <c r="C111">
        <v>7</v>
      </c>
      <c r="D111">
        <v>15</v>
      </c>
    </row>
    <row r="112" spans="1:4" x14ac:dyDescent="0.3">
      <c r="A112" s="5">
        <v>61</v>
      </c>
      <c r="B112">
        <v>5</v>
      </c>
      <c r="C112">
        <v>4</v>
      </c>
      <c r="D112">
        <v>9</v>
      </c>
    </row>
    <row r="113" spans="1:4" x14ac:dyDescent="0.3">
      <c r="A113" s="5">
        <v>62</v>
      </c>
      <c r="B113">
        <v>9</v>
      </c>
      <c r="C113">
        <v>4</v>
      </c>
      <c r="D113">
        <v>13</v>
      </c>
    </row>
    <row r="114" spans="1:4" x14ac:dyDescent="0.3">
      <c r="A114" s="5">
        <v>63</v>
      </c>
      <c r="B114">
        <v>7</v>
      </c>
      <c r="C114">
        <v>2</v>
      </c>
      <c r="D114">
        <v>9</v>
      </c>
    </row>
    <row r="115" spans="1:4" x14ac:dyDescent="0.3">
      <c r="A115" s="5">
        <v>64</v>
      </c>
      <c r="B115">
        <v>7</v>
      </c>
      <c r="C115">
        <v>3</v>
      </c>
      <c r="D115">
        <v>10</v>
      </c>
    </row>
    <row r="116" spans="1:4" x14ac:dyDescent="0.3">
      <c r="A116" s="5">
        <v>65</v>
      </c>
      <c r="B116">
        <v>6</v>
      </c>
      <c r="C116">
        <v>3</v>
      </c>
      <c r="D116">
        <v>9</v>
      </c>
    </row>
    <row r="117" spans="1:4" x14ac:dyDescent="0.3">
      <c r="A117" s="5">
        <v>66</v>
      </c>
      <c r="B117">
        <v>8</v>
      </c>
      <c r="C117">
        <v>6</v>
      </c>
      <c r="D117">
        <v>14</v>
      </c>
    </row>
    <row r="118" spans="1:4" x14ac:dyDescent="0.3">
      <c r="A118" s="5">
        <v>67</v>
      </c>
      <c r="B118">
        <v>8</v>
      </c>
      <c r="C118">
        <v>2</v>
      </c>
      <c r="D118">
        <v>10</v>
      </c>
    </row>
    <row r="119" spans="1:4" x14ac:dyDescent="0.3">
      <c r="A119" s="5">
        <v>68</v>
      </c>
      <c r="B119">
        <v>3</v>
      </c>
      <c r="D119">
        <v>3</v>
      </c>
    </row>
    <row r="120" spans="1:4" x14ac:dyDescent="0.3">
      <c r="A120" s="5">
        <v>69</v>
      </c>
      <c r="B120">
        <v>8</v>
      </c>
      <c r="D120">
        <v>8</v>
      </c>
    </row>
    <row r="121" spans="1:4" x14ac:dyDescent="0.3">
      <c r="A121" s="5">
        <v>70</v>
      </c>
      <c r="B121">
        <v>3</v>
      </c>
      <c r="C121">
        <v>1</v>
      </c>
      <c r="D121">
        <v>4</v>
      </c>
    </row>
    <row r="122" spans="1:4" x14ac:dyDescent="0.3">
      <c r="A122" s="5">
        <v>71</v>
      </c>
      <c r="B122">
        <v>1</v>
      </c>
      <c r="D122">
        <v>1</v>
      </c>
    </row>
    <row r="123" spans="1:4" x14ac:dyDescent="0.3">
      <c r="A123" s="5">
        <v>72</v>
      </c>
      <c r="C123">
        <v>1</v>
      </c>
      <c r="D123">
        <v>1</v>
      </c>
    </row>
    <row r="124" spans="1:4" x14ac:dyDescent="0.3">
      <c r="A124" s="5">
        <v>73</v>
      </c>
      <c r="B124">
        <v>2</v>
      </c>
      <c r="C124">
        <v>2</v>
      </c>
      <c r="D124">
        <v>4</v>
      </c>
    </row>
    <row r="125" spans="1:4" x14ac:dyDescent="0.3">
      <c r="A125" s="5">
        <v>74</v>
      </c>
      <c r="C125">
        <v>1</v>
      </c>
      <c r="D125">
        <v>1</v>
      </c>
    </row>
    <row r="126" spans="1:4" x14ac:dyDescent="0.3">
      <c r="A126" s="5">
        <v>78</v>
      </c>
      <c r="B126">
        <v>1</v>
      </c>
      <c r="C126">
        <v>1</v>
      </c>
      <c r="D126">
        <v>2</v>
      </c>
    </row>
    <row r="127" spans="1:4" x14ac:dyDescent="0.3">
      <c r="A127" s="5">
        <v>80</v>
      </c>
      <c r="B127">
        <v>1</v>
      </c>
      <c r="D127">
        <v>1</v>
      </c>
    </row>
    <row r="128" spans="1:4" x14ac:dyDescent="0.3">
      <c r="A128" s="5">
        <v>89</v>
      </c>
      <c r="B128">
        <v>1</v>
      </c>
      <c r="D128">
        <v>1</v>
      </c>
    </row>
    <row r="129" spans="1:4" x14ac:dyDescent="0.3">
      <c r="A129" s="5" t="s">
        <v>42</v>
      </c>
      <c r="B129">
        <v>519</v>
      </c>
      <c r="C129">
        <v>481</v>
      </c>
      <c r="D12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0869-48B8-4CD4-B9DB-7F85C234B013}">
  <dimension ref="A1:N1001"/>
  <sheetViews>
    <sheetView topLeftCell="J1" zoomScale="115" zoomScaleNormal="100" workbookViewId="0">
      <selection activeCell="M9" sqref="M9"/>
    </sheetView>
  </sheetViews>
  <sheetFormatPr defaultColWidth="11.88671875" defaultRowHeight="14.4" x14ac:dyDescent="0.3"/>
  <cols>
    <col min="2" max="2" width="15.44140625" customWidth="1"/>
    <col min="4" max="4" width="13" style="3" bestFit="1" customWidth="1"/>
    <col min="6" max="6" width="18.33203125" customWidth="1"/>
    <col min="7" max="7" width="16.77734375" customWidth="1"/>
    <col min="10" max="10" width="20.6640625" customWidth="1"/>
    <col min="12" max="12" width="14.2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40</v>
      </c>
      <c r="M1" t="s">
        <v>11</v>
      </c>
      <c r="N1" t="s">
        <v>12</v>
      </c>
    </row>
    <row r="2" spans="1:14" x14ac:dyDescent="0.3">
      <c r="A2">
        <v>12496</v>
      </c>
      <c r="B2" t="s">
        <v>36</v>
      </c>
      <c r="C2" t="s">
        <v>39</v>
      </c>
      <c r="D2" s="3">
        <v>40000</v>
      </c>
      <c r="E2">
        <v>1</v>
      </c>
      <c r="F2" t="s">
        <v>13</v>
      </c>
      <c r="G2" t="s">
        <v>14</v>
      </c>
      <c r="H2" t="s">
        <v>15</v>
      </c>
      <c r="I2">
        <v>0</v>
      </c>
      <c r="J2" t="s">
        <v>16</v>
      </c>
      <c r="K2" t="s">
        <v>17</v>
      </c>
      <c r="L2" t="str">
        <f>IF(M2&gt;54,"Old",IF(M2&gt;=31,"Middle Age", IF(M2 &lt;31,"Adolescent","invalid")))</f>
        <v>Middle Age</v>
      </c>
      <c r="M2">
        <v>42</v>
      </c>
      <c r="N2" t="s">
        <v>18</v>
      </c>
    </row>
    <row r="3" spans="1:14" x14ac:dyDescent="0.3">
      <c r="A3">
        <v>24107</v>
      </c>
      <c r="B3" t="s">
        <v>36</v>
      </c>
      <c r="C3" t="s">
        <v>38</v>
      </c>
      <c r="D3" s="3">
        <v>30000</v>
      </c>
      <c r="E3">
        <v>3</v>
      </c>
      <c r="F3" t="s">
        <v>19</v>
      </c>
      <c r="G3" t="s">
        <v>20</v>
      </c>
      <c r="H3" t="s">
        <v>15</v>
      </c>
      <c r="I3">
        <v>1</v>
      </c>
      <c r="J3" t="s">
        <v>16</v>
      </c>
      <c r="K3" t="s">
        <v>17</v>
      </c>
      <c r="L3" t="str">
        <f t="shared" ref="L3:L66" si="0">IF(M3&gt;54,"Old",IF(M3&gt;=31,"Middle Age", IF(M3 &lt;31,"Adolescent","invalid")))</f>
        <v>Middle Age</v>
      </c>
      <c r="M3">
        <v>43</v>
      </c>
      <c r="N3" t="s">
        <v>18</v>
      </c>
    </row>
    <row r="4" spans="1:14" x14ac:dyDescent="0.3">
      <c r="A4">
        <v>14177</v>
      </c>
      <c r="B4" t="s">
        <v>36</v>
      </c>
      <c r="C4" t="s">
        <v>38</v>
      </c>
      <c r="D4" s="3">
        <v>80000</v>
      </c>
      <c r="E4">
        <v>5</v>
      </c>
      <c r="F4" t="s">
        <v>19</v>
      </c>
      <c r="G4" t="s">
        <v>21</v>
      </c>
      <c r="H4" t="s">
        <v>18</v>
      </c>
      <c r="I4">
        <v>2</v>
      </c>
      <c r="J4" t="s">
        <v>22</v>
      </c>
      <c r="K4" t="s">
        <v>17</v>
      </c>
      <c r="L4" t="str">
        <f t="shared" si="0"/>
        <v>Old</v>
      </c>
      <c r="M4">
        <v>60</v>
      </c>
      <c r="N4" t="s">
        <v>18</v>
      </c>
    </row>
    <row r="5" spans="1:14" x14ac:dyDescent="0.3">
      <c r="A5">
        <v>24381</v>
      </c>
      <c r="B5" t="s">
        <v>37</v>
      </c>
      <c r="C5" t="s">
        <v>38</v>
      </c>
      <c r="D5" s="3">
        <v>70000</v>
      </c>
      <c r="E5">
        <v>0</v>
      </c>
      <c r="F5" t="s">
        <v>13</v>
      </c>
      <c r="G5" t="s">
        <v>21</v>
      </c>
      <c r="H5" t="s">
        <v>15</v>
      </c>
      <c r="I5">
        <v>1</v>
      </c>
      <c r="J5" t="s">
        <v>23</v>
      </c>
      <c r="K5" t="s">
        <v>24</v>
      </c>
      <c r="L5" t="str">
        <f t="shared" si="0"/>
        <v>Middle Age</v>
      </c>
      <c r="M5">
        <v>41</v>
      </c>
      <c r="N5" t="s">
        <v>15</v>
      </c>
    </row>
    <row r="6" spans="1:14" x14ac:dyDescent="0.3">
      <c r="A6">
        <v>25597</v>
      </c>
      <c r="B6" t="s">
        <v>37</v>
      </c>
      <c r="C6" t="s">
        <v>38</v>
      </c>
      <c r="D6" s="3">
        <v>30000</v>
      </c>
      <c r="E6">
        <v>0</v>
      </c>
      <c r="F6" t="s">
        <v>13</v>
      </c>
      <c r="G6" t="s">
        <v>20</v>
      </c>
      <c r="H6" t="s">
        <v>18</v>
      </c>
      <c r="I6">
        <v>0</v>
      </c>
      <c r="J6" t="s">
        <v>16</v>
      </c>
      <c r="K6" t="s">
        <v>17</v>
      </c>
      <c r="L6" t="str">
        <f t="shared" si="0"/>
        <v>Middle Age</v>
      </c>
      <c r="M6">
        <v>36</v>
      </c>
      <c r="N6" t="s">
        <v>15</v>
      </c>
    </row>
    <row r="7" spans="1:14" x14ac:dyDescent="0.3">
      <c r="A7">
        <v>13507</v>
      </c>
      <c r="B7" t="s">
        <v>36</v>
      </c>
      <c r="C7" t="s">
        <v>39</v>
      </c>
      <c r="D7" s="3">
        <v>10000</v>
      </c>
      <c r="E7">
        <v>2</v>
      </c>
      <c r="F7" t="s">
        <v>19</v>
      </c>
      <c r="G7" t="s">
        <v>25</v>
      </c>
      <c r="H7" t="s">
        <v>15</v>
      </c>
      <c r="I7">
        <v>0</v>
      </c>
      <c r="J7" t="s">
        <v>26</v>
      </c>
      <c r="K7" t="s">
        <v>17</v>
      </c>
      <c r="L7" t="str">
        <f t="shared" si="0"/>
        <v>Middle Age</v>
      </c>
      <c r="M7">
        <v>50</v>
      </c>
      <c r="N7" t="s">
        <v>18</v>
      </c>
    </row>
    <row r="8" spans="1:14" x14ac:dyDescent="0.3">
      <c r="A8">
        <v>27974</v>
      </c>
      <c r="B8" t="s">
        <v>37</v>
      </c>
      <c r="C8" t="s">
        <v>38</v>
      </c>
      <c r="D8" s="3">
        <v>160000</v>
      </c>
      <c r="E8">
        <v>2</v>
      </c>
      <c r="F8" t="s">
        <v>27</v>
      </c>
      <c r="G8" t="s">
        <v>28</v>
      </c>
      <c r="H8" t="s">
        <v>15</v>
      </c>
      <c r="I8">
        <v>4</v>
      </c>
      <c r="J8" t="s">
        <v>16</v>
      </c>
      <c r="K8" t="s">
        <v>24</v>
      </c>
      <c r="L8" t="str">
        <f t="shared" si="0"/>
        <v>Middle Age</v>
      </c>
      <c r="M8">
        <v>33</v>
      </c>
      <c r="N8" t="s">
        <v>15</v>
      </c>
    </row>
    <row r="9" spans="1:14" x14ac:dyDescent="0.3">
      <c r="A9">
        <v>19364</v>
      </c>
      <c r="B9" t="s">
        <v>36</v>
      </c>
      <c r="C9" t="s">
        <v>38</v>
      </c>
      <c r="D9" s="3">
        <v>40000</v>
      </c>
      <c r="E9">
        <v>1</v>
      </c>
      <c r="F9" t="s">
        <v>13</v>
      </c>
      <c r="G9" t="s">
        <v>14</v>
      </c>
      <c r="H9" t="s">
        <v>15</v>
      </c>
      <c r="I9">
        <v>0</v>
      </c>
      <c r="J9" t="s">
        <v>16</v>
      </c>
      <c r="K9" t="s">
        <v>17</v>
      </c>
      <c r="L9" t="str">
        <f t="shared" si="0"/>
        <v>Middle Age</v>
      </c>
      <c r="M9">
        <v>43</v>
      </c>
      <c r="N9" t="s">
        <v>15</v>
      </c>
    </row>
    <row r="10" spans="1:14" x14ac:dyDescent="0.3">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3">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3">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3">
      <c r="A13">
        <v>12697</v>
      </c>
      <c r="B13" t="s">
        <v>37</v>
      </c>
      <c r="C13" t="s">
        <v>39</v>
      </c>
      <c r="D13" s="3">
        <v>90000</v>
      </c>
      <c r="E13">
        <v>0</v>
      </c>
      <c r="F13" t="s">
        <v>13</v>
      </c>
      <c r="G13" t="s">
        <v>21</v>
      </c>
      <c r="H13" t="s">
        <v>18</v>
      </c>
      <c r="I13">
        <v>4</v>
      </c>
      <c r="J13" t="s">
        <v>46</v>
      </c>
      <c r="K13" t="s">
        <v>24</v>
      </c>
      <c r="L13" t="str">
        <f t="shared" si="0"/>
        <v>Middle Age</v>
      </c>
      <c r="M13">
        <v>36</v>
      </c>
      <c r="N13" t="s">
        <v>18</v>
      </c>
    </row>
    <row r="14" spans="1:14" x14ac:dyDescent="0.3">
      <c r="A14">
        <v>11434</v>
      </c>
      <c r="B14" t="s">
        <v>36</v>
      </c>
      <c r="C14" t="s">
        <v>38</v>
      </c>
      <c r="D14" s="3">
        <v>170000</v>
      </c>
      <c r="E14">
        <v>5</v>
      </c>
      <c r="F14" t="s">
        <v>19</v>
      </c>
      <c r="G14" t="s">
        <v>21</v>
      </c>
      <c r="H14" t="s">
        <v>15</v>
      </c>
      <c r="I14">
        <v>0</v>
      </c>
      <c r="J14" t="s">
        <v>16</v>
      </c>
      <c r="K14" t="s">
        <v>17</v>
      </c>
      <c r="L14" t="str">
        <f t="shared" si="0"/>
        <v>Old</v>
      </c>
      <c r="M14">
        <v>55</v>
      </c>
      <c r="N14" t="s">
        <v>18</v>
      </c>
    </row>
    <row r="15" spans="1:14" x14ac:dyDescent="0.3">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3">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3">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3">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3">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3">
      <c r="A21">
        <v>25940</v>
      </c>
      <c r="B21" t="s">
        <v>37</v>
      </c>
      <c r="C21" t="s">
        <v>38</v>
      </c>
      <c r="D21" s="3">
        <v>20000</v>
      </c>
      <c r="E21">
        <v>2</v>
      </c>
      <c r="F21" t="s">
        <v>29</v>
      </c>
      <c r="G21" t="s">
        <v>20</v>
      </c>
      <c r="H21" t="s">
        <v>15</v>
      </c>
      <c r="I21">
        <v>2</v>
      </c>
      <c r="J21" t="s">
        <v>23</v>
      </c>
      <c r="K21" t="s">
        <v>24</v>
      </c>
      <c r="L21" t="str">
        <f t="shared" si="0"/>
        <v>Old</v>
      </c>
      <c r="M21">
        <v>55</v>
      </c>
      <c r="N21" t="s">
        <v>15</v>
      </c>
    </row>
    <row r="22" spans="1:14" x14ac:dyDescent="0.3">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
      <c r="A23">
        <v>21564</v>
      </c>
      <c r="B23" t="s">
        <v>37</v>
      </c>
      <c r="C23" t="s">
        <v>39</v>
      </c>
      <c r="D23" s="3">
        <v>80000</v>
      </c>
      <c r="E23">
        <v>0</v>
      </c>
      <c r="F23" t="s">
        <v>13</v>
      </c>
      <c r="G23" t="s">
        <v>21</v>
      </c>
      <c r="H23" t="s">
        <v>15</v>
      </c>
      <c r="I23">
        <v>4</v>
      </c>
      <c r="J23" t="s">
        <v>46</v>
      </c>
      <c r="K23" t="s">
        <v>24</v>
      </c>
      <c r="L23" t="str">
        <f t="shared" si="0"/>
        <v>Middle Age</v>
      </c>
      <c r="M23">
        <v>35</v>
      </c>
      <c r="N23" t="s">
        <v>18</v>
      </c>
    </row>
    <row r="24" spans="1:14" x14ac:dyDescent="0.3">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3">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3">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3">
      <c r="A28">
        <v>17841</v>
      </c>
      <c r="B28" t="s">
        <v>37</v>
      </c>
      <c r="C28" t="s">
        <v>38</v>
      </c>
      <c r="D28" s="3">
        <v>30000</v>
      </c>
      <c r="E28">
        <v>0</v>
      </c>
      <c r="F28" t="s">
        <v>19</v>
      </c>
      <c r="G28" t="s">
        <v>20</v>
      </c>
      <c r="H28" t="s">
        <v>18</v>
      </c>
      <c r="I28">
        <v>1</v>
      </c>
      <c r="J28" t="s">
        <v>16</v>
      </c>
      <c r="K28" t="s">
        <v>17</v>
      </c>
      <c r="L28" t="str">
        <f t="shared" si="0"/>
        <v>Adolescent</v>
      </c>
      <c r="M28">
        <v>29</v>
      </c>
      <c r="N28" t="s">
        <v>15</v>
      </c>
    </row>
    <row r="29" spans="1:14" x14ac:dyDescent="0.3">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3">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3">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3">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3">
      <c r="A33">
        <v>22400</v>
      </c>
      <c r="B33" t="s">
        <v>36</v>
      </c>
      <c r="C33" t="s">
        <v>38</v>
      </c>
      <c r="D33" s="3">
        <v>10000</v>
      </c>
      <c r="E33">
        <v>0</v>
      </c>
      <c r="F33" t="s">
        <v>19</v>
      </c>
      <c r="G33" t="s">
        <v>25</v>
      </c>
      <c r="H33" t="s">
        <v>18</v>
      </c>
      <c r="I33">
        <v>1</v>
      </c>
      <c r="J33" t="s">
        <v>16</v>
      </c>
      <c r="K33" t="s">
        <v>24</v>
      </c>
      <c r="L33" t="str">
        <f t="shared" si="0"/>
        <v>Adolescent</v>
      </c>
      <c r="M33">
        <v>26</v>
      </c>
      <c r="N33" t="s">
        <v>15</v>
      </c>
    </row>
    <row r="34" spans="1:14" x14ac:dyDescent="0.3">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3">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3">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3">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3">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3">
      <c r="A39">
        <v>27832</v>
      </c>
      <c r="B39" t="s">
        <v>37</v>
      </c>
      <c r="C39" t="s">
        <v>39</v>
      </c>
      <c r="D39" s="3">
        <v>30000</v>
      </c>
      <c r="E39">
        <v>0</v>
      </c>
      <c r="F39" t="s">
        <v>19</v>
      </c>
      <c r="G39" t="s">
        <v>20</v>
      </c>
      <c r="H39" t="s">
        <v>18</v>
      </c>
      <c r="I39">
        <v>1</v>
      </c>
      <c r="J39" t="s">
        <v>22</v>
      </c>
      <c r="K39" t="s">
        <v>17</v>
      </c>
      <c r="L39" t="str">
        <f t="shared" si="0"/>
        <v>Adolescent</v>
      </c>
      <c r="M39">
        <v>30</v>
      </c>
      <c r="N39" t="s">
        <v>18</v>
      </c>
    </row>
    <row r="40" spans="1:14" x14ac:dyDescent="0.3">
      <c r="A40">
        <v>26863</v>
      </c>
      <c r="B40" t="s">
        <v>37</v>
      </c>
      <c r="C40" t="s">
        <v>38</v>
      </c>
      <c r="D40" s="3">
        <v>20000</v>
      </c>
      <c r="E40">
        <v>0</v>
      </c>
      <c r="F40" t="s">
        <v>27</v>
      </c>
      <c r="G40" t="s">
        <v>25</v>
      </c>
      <c r="H40" t="s">
        <v>18</v>
      </c>
      <c r="I40">
        <v>1</v>
      </c>
      <c r="J40" t="s">
        <v>22</v>
      </c>
      <c r="K40" t="s">
        <v>17</v>
      </c>
      <c r="L40" t="str">
        <f t="shared" si="0"/>
        <v>Adolescent</v>
      </c>
      <c r="M40">
        <v>28</v>
      </c>
      <c r="N40" t="s">
        <v>18</v>
      </c>
    </row>
    <row r="41" spans="1:14" x14ac:dyDescent="0.3">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3">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3">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3">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3">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3">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3">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3">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3">
      <c r="A52">
        <v>13826</v>
      </c>
      <c r="B52" t="s">
        <v>37</v>
      </c>
      <c r="C52" t="s">
        <v>39</v>
      </c>
      <c r="D52" s="3">
        <v>30000</v>
      </c>
      <c r="E52">
        <v>0</v>
      </c>
      <c r="F52" t="s">
        <v>19</v>
      </c>
      <c r="G52" t="s">
        <v>20</v>
      </c>
      <c r="H52" t="s">
        <v>18</v>
      </c>
      <c r="I52">
        <v>1</v>
      </c>
      <c r="J52" t="s">
        <v>16</v>
      </c>
      <c r="K52" t="s">
        <v>17</v>
      </c>
      <c r="L52" t="str">
        <f t="shared" si="0"/>
        <v>Adolescent</v>
      </c>
      <c r="M52">
        <v>28</v>
      </c>
      <c r="N52" t="s">
        <v>18</v>
      </c>
    </row>
    <row r="53" spans="1:14" x14ac:dyDescent="0.3">
      <c r="A53">
        <v>20619</v>
      </c>
      <c r="B53" t="s">
        <v>37</v>
      </c>
      <c r="C53" t="s">
        <v>38</v>
      </c>
      <c r="D53" s="3">
        <v>80000</v>
      </c>
      <c r="E53">
        <v>0</v>
      </c>
      <c r="F53" t="s">
        <v>13</v>
      </c>
      <c r="G53" t="s">
        <v>21</v>
      </c>
      <c r="H53" t="s">
        <v>18</v>
      </c>
      <c r="I53">
        <v>4</v>
      </c>
      <c r="J53" t="s">
        <v>46</v>
      </c>
      <c r="K53" t="s">
        <v>24</v>
      </c>
      <c r="L53" t="str">
        <f t="shared" si="0"/>
        <v>Middle Age</v>
      </c>
      <c r="M53">
        <v>35</v>
      </c>
      <c r="N53" t="s">
        <v>18</v>
      </c>
    </row>
    <row r="54" spans="1:14" x14ac:dyDescent="0.3">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3">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3">
      <c r="A57">
        <v>28906</v>
      </c>
      <c r="B57" t="s">
        <v>36</v>
      </c>
      <c r="C57" t="s">
        <v>38</v>
      </c>
      <c r="D57" s="3">
        <v>80000</v>
      </c>
      <c r="E57">
        <v>4</v>
      </c>
      <c r="F57" t="s">
        <v>27</v>
      </c>
      <c r="G57" t="s">
        <v>21</v>
      </c>
      <c r="H57" t="s">
        <v>15</v>
      </c>
      <c r="I57">
        <v>2</v>
      </c>
      <c r="J57" t="s">
        <v>46</v>
      </c>
      <c r="K57" t="s">
        <v>17</v>
      </c>
      <c r="L57" t="str">
        <f t="shared" si="0"/>
        <v>Middle Age</v>
      </c>
      <c r="M57">
        <v>54</v>
      </c>
      <c r="N57" t="s">
        <v>18</v>
      </c>
    </row>
    <row r="58" spans="1:14" x14ac:dyDescent="0.3">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3">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3">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3">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3">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3">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3">
      <c r="A65">
        <v>16185</v>
      </c>
      <c r="B65" t="s">
        <v>37</v>
      </c>
      <c r="C65" t="s">
        <v>38</v>
      </c>
      <c r="D65" s="3">
        <v>60000</v>
      </c>
      <c r="E65">
        <v>4</v>
      </c>
      <c r="F65" t="s">
        <v>13</v>
      </c>
      <c r="G65" t="s">
        <v>21</v>
      </c>
      <c r="H65" t="s">
        <v>15</v>
      </c>
      <c r="I65">
        <v>3</v>
      </c>
      <c r="J65" t="s">
        <v>46</v>
      </c>
      <c r="K65" t="s">
        <v>24</v>
      </c>
      <c r="L65" t="str">
        <f t="shared" si="0"/>
        <v>Middle Age</v>
      </c>
      <c r="M65">
        <v>41</v>
      </c>
      <c r="N65" t="s">
        <v>18</v>
      </c>
    </row>
    <row r="66" spans="1:14" x14ac:dyDescent="0.3">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
      <c r="A67">
        <v>29337</v>
      </c>
      <c r="B67" t="s">
        <v>37</v>
      </c>
      <c r="C67" t="s">
        <v>38</v>
      </c>
      <c r="D67" s="3">
        <v>30000</v>
      </c>
      <c r="E67">
        <v>2</v>
      </c>
      <c r="F67" t="s">
        <v>19</v>
      </c>
      <c r="G67" t="s">
        <v>20</v>
      </c>
      <c r="H67" t="s">
        <v>15</v>
      </c>
      <c r="I67">
        <v>2</v>
      </c>
      <c r="J67" t="s">
        <v>23</v>
      </c>
      <c r="K67" t="s">
        <v>24</v>
      </c>
      <c r="L67" t="str">
        <f t="shared" ref="L67:L130" si="1">IF(M67&gt;54,"Old",IF(M67&gt;=31,"Middle Age", IF(M67 &lt;31,"Adolescent","invalid")))</f>
        <v>Old</v>
      </c>
      <c r="M67">
        <v>68</v>
      </c>
      <c r="N67" t="s">
        <v>18</v>
      </c>
    </row>
    <row r="68" spans="1:14" x14ac:dyDescent="0.3">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3">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3">
      <c r="A71">
        <v>16438</v>
      </c>
      <c r="B71" t="s">
        <v>36</v>
      </c>
      <c r="C71" t="s">
        <v>39</v>
      </c>
      <c r="D71" s="3">
        <v>10000</v>
      </c>
      <c r="E71">
        <v>0</v>
      </c>
      <c r="F71" t="s">
        <v>29</v>
      </c>
      <c r="G71" t="s">
        <v>25</v>
      </c>
      <c r="H71" t="s">
        <v>18</v>
      </c>
      <c r="I71">
        <v>2</v>
      </c>
      <c r="J71" t="s">
        <v>16</v>
      </c>
      <c r="K71" t="s">
        <v>17</v>
      </c>
      <c r="L71" t="str">
        <f t="shared" si="1"/>
        <v>Adolescent</v>
      </c>
      <c r="M71">
        <v>30</v>
      </c>
      <c r="N71" t="s">
        <v>18</v>
      </c>
    </row>
    <row r="72" spans="1:14" x14ac:dyDescent="0.3">
      <c r="A72">
        <v>14238</v>
      </c>
      <c r="B72" t="s">
        <v>36</v>
      </c>
      <c r="C72" t="s">
        <v>38</v>
      </c>
      <c r="D72" s="3">
        <v>120000</v>
      </c>
      <c r="E72">
        <v>0</v>
      </c>
      <c r="F72" t="s">
        <v>29</v>
      </c>
      <c r="G72" t="s">
        <v>21</v>
      </c>
      <c r="H72" t="s">
        <v>15</v>
      </c>
      <c r="I72">
        <v>4</v>
      </c>
      <c r="J72" t="s">
        <v>46</v>
      </c>
      <c r="K72" t="s">
        <v>24</v>
      </c>
      <c r="L72" t="str">
        <f t="shared" si="1"/>
        <v>Middle Age</v>
      </c>
      <c r="M72">
        <v>36</v>
      </c>
      <c r="N72" t="s">
        <v>15</v>
      </c>
    </row>
    <row r="73" spans="1:14" x14ac:dyDescent="0.3">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3">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3">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3">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3">
      <c r="A78">
        <v>16188</v>
      </c>
      <c r="B78" t="s">
        <v>37</v>
      </c>
      <c r="C78" t="s">
        <v>39</v>
      </c>
      <c r="D78" s="3">
        <v>20000</v>
      </c>
      <c r="E78">
        <v>0</v>
      </c>
      <c r="F78" t="s">
        <v>29</v>
      </c>
      <c r="G78" t="s">
        <v>25</v>
      </c>
      <c r="H78" t="s">
        <v>18</v>
      </c>
      <c r="I78">
        <v>2</v>
      </c>
      <c r="J78" t="s">
        <v>26</v>
      </c>
      <c r="K78" t="s">
        <v>17</v>
      </c>
      <c r="L78" t="str">
        <f t="shared" si="1"/>
        <v>Adolescent</v>
      </c>
      <c r="M78">
        <v>26</v>
      </c>
      <c r="N78" t="s">
        <v>18</v>
      </c>
    </row>
    <row r="79" spans="1:14" x14ac:dyDescent="0.3">
      <c r="A79">
        <v>27969</v>
      </c>
      <c r="B79" t="s">
        <v>36</v>
      </c>
      <c r="C79" t="s">
        <v>38</v>
      </c>
      <c r="D79" s="3">
        <v>80000</v>
      </c>
      <c r="E79">
        <v>0</v>
      </c>
      <c r="F79" t="s">
        <v>13</v>
      </c>
      <c r="G79" t="s">
        <v>21</v>
      </c>
      <c r="H79" t="s">
        <v>15</v>
      </c>
      <c r="I79">
        <v>2</v>
      </c>
      <c r="J79" t="s">
        <v>46</v>
      </c>
      <c r="K79" t="s">
        <v>24</v>
      </c>
      <c r="L79" t="str">
        <f t="shared" si="1"/>
        <v>Adolescent</v>
      </c>
      <c r="M79">
        <v>29</v>
      </c>
      <c r="N79" t="s">
        <v>15</v>
      </c>
    </row>
    <row r="80" spans="1:14" x14ac:dyDescent="0.3">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3">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3">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3">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3">
      <c r="A85">
        <v>28412</v>
      </c>
      <c r="B85" t="s">
        <v>37</v>
      </c>
      <c r="C85" t="s">
        <v>38</v>
      </c>
      <c r="D85" s="3">
        <v>20000</v>
      </c>
      <c r="E85">
        <v>0</v>
      </c>
      <c r="F85" t="s">
        <v>27</v>
      </c>
      <c r="G85" t="s">
        <v>25</v>
      </c>
      <c r="H85" t="s">
        <v>18</v>
      </c>
      <c r="I85">
        <v>1</v>
      </c>
      <c r="J85" t="s">
        <v>22</v>
      </c>
      <c r="K85" t="s">
        <v>17</v>
      </c>
      <c r="L85" t="str">
        <f t="shared" si="1"/>
        <v>Adolescent</v>
      </c>
      <c r="M85">
        <v>29</v>
      </c>
      <c r="N85" t="s">
        <v>18</v>
      </c>
    </row>
    <row r="86" spans="1:14" x14ac:dyDescent="0.3">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3">
      <c r="A87">
        <v>16514</v>
      </c>
      <c r="B87" t="s">
        <v>37</v>
      </c>
      <c r="C87" t="s">
        <v>38</v>
      </c>
      <c r="D87" s="3">
        <v>10000</v>
      </c>
      <c r="E87">
        <v>0</v>
      </c>
      <c r="F87" t="s">
        <v>19</v>
      </c>
      <c r="G87" t="s">
        <v>25</v>
      </c>
      <c r="H87" t="s">
        <v>15</v>
      </c>
      <c r="I87">
        <v>1</v>
      </c>
      <c r="J87" t="s">
        <v>26</v>
      </c>
      <c r="K87" t="s">
        <v>24</v>
      </c>
      <c r="L87" t="str">
        <f t="shared" si="1"/>
        <v>Adolescent</v>
      </c>
      <c r="M87">
        <v>26</v>
      </c>
      <c r="N87" t="s">
        <v>15</v>
      </c>
    </row>
    <row r="88" spans="1:14" x14ac:dyDescent="0.3">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3">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3">
      <c r="A90">
        <v>24119</v>
      </c>
      <c r="B90" t="s">
        <v>37</v>
      </c>
      <c r="C90" t="s">
        <v>38</v>
      </c>
      <c r="D90" s="3">
        <v>30000</v>
      </c>
      <c r="E90">
        <v>0</v>
      </c>
      <c r="F90" t="s">
        <v>19</v>
      </c>
      <c r="G90" t="s">
        <v>20</v>
      </c>
      <c r="H90" t="s">
        <v>18</v>
      </c>
      <c r="I90">
        <v>1</v>
      </c>
      <c r="J90" t="s">
        <v>22</v>
      </c>
      <c r="K90" t="s">
        <v>17</v>
      </c>
      <c r="L90" t="str">
        <f t="shared" si="1"/>
        <v>Adolescent</v>
      </c>
      <c r="M90">
        <v>29</v>
      </c>
      <c r="N90" t="s">
        <v>18</v>
      </c>
    </row>
    <row r="91" spans="1:14" x14ac:dyDescent="0.3">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3">
      <c r="A92">
        <v>26886</v>
      </c>
      <c r="B92" t="s">
        <v>37</v>
      </c>
      <c r="C92" t="s">
        <v>39</v>
      </c>
      <c r="D92" s="3">
        <v>30000</v>
      </c>
      <c r="E92">
        <v>0</v>
      </c>
      <c r="F92" t="s">
        <v>19</v>
      </c>
      <c r="G92" t="s">
        <v>20</v>
      </c>
      <c r="H92" t="s">
        <v>18</v>
      </c>
      <c r="I92">
        <v>1</v>
      </c>
      <c r="J92" t="s">
        <v>16</v>
      </c>
      <c r="K92" t="s">
        <v>17</v>
      </c>
      <c r="L92" t="str">
        <f t="shared" si="1"/>
        <v>Adolescent</v>
      </c>
      <c r="M92">
        <v>29</v>
      </c>
      <c r="N92" t="s">
        <v>15</v>
      </c>
    </row>
    <row r="93" spans="1:14" x14ac:dyDescent="0.3">
      <c r="A93">
        <v>28436</v>
      </c>
      <c r="B93" t="s">
        <v>37</v>
      </c>
      <c r="C93" t="s">
        <v>38</v>
      </c>
      <c r="D93" s="3">
        <v>30000</v>
      </c>
      <c r="E93">
        <v>0</v>
      </c>
      <c r="F93" t="s">
        <v>19</v>
      </c>
      <c r="G93" t="s">
        <v>20</v>
      </c>
      <c r="H93" t="s">
        <v>18</v>
      </c>
      <c r="I93">
        <v>1</v>
      </c>
      <c r="J93" t="s">
        <v>16</v>
      </c>
      <c r="K93" t="s">
        <v>17</v>
      </c>
      <c r="L93" t="str">
        <f t="shared" si="1"/>
        <v>Adolescent</v>
      </c>
      <c r="M93">
        <v>30</v>
      </c>
      <c r="N93" t="s">
        <v>15</v>
      </c>
    </row>
    <row r="94" spans="1:14" x14ac:dyDescent="0.3">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3">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3">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3">
      <c r="A97">
        <v>17197</v>
      </c>
      <c r="B97" t="s">
        <v>37</v>
      </c>
      <c r="C97" t="s">
        <v>39</v>
      </c>
      <c r="D97" s="3">
        <v>90000</v>
      </c>
      <c r="E97">
        <v>5</v>
      </c>
      <c r="F97" t="s">
        <v>19</v>
      </c>
      <c r="G97" t="s">
        <v>21</v>
      </c>
      <c r="H97" t="s">
        <v>15</v>
      </c>
      <c r="I97">
        <v>2</v>
      </c>
      <c r="J97" t="s">
        <v>46</v>
      </c>
      <c r="K97" t="s">
        <v>17</v>
      </c>
      <c r="L97" t="str">
        <f t="shared" si="1"/>
        <v>Old</v>
      </c>
      <c r="M97">
        <v>62</v>
      </c>
      <c r="N97" t="s">
        <v>18</v>
      </c>
    </row>
    <row r="98" spans="1:14" x14ac:dyDescent="0.3">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3">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3">
      <c r="A100">
        <v>19441</v>
      </c>
      <c r="B100" t="s">
        <v>36</v>
      </c>
      <c r="C100" t="s">
        <v>38</v>
      </c>
      <c r="D100" s="3">
        <v>40000</v>
      </c>
      <c r="E100">
        <v>0</v>
      </c>
      <c r="F100" t="s">
        <v>31</v>
      </c>
      <c r="G100" t="s">
        <v>20</v>
      </c>
      <c r="H100" t="s">
        <v>15</v>
      </c>
      <c r="I100">
        <v>0</v>
      </c>
      <c r="J100" t="s">
        <v>16</v>
      </c>
      <c r="K100" t="s">
        <v>17</v>
      </c>
      <c r="L100" t="str">
        <f t="shared" si="1"/>
        <v>Adolescent</v>
      </c>
      <c r="M100">
        <v>25</v>
      </c>
      <c r="N100" t="s">
        <v>15</v>
      </c>
    </row>
    <row r="101" spans="1:14" x14ac:dyDescent="0.3">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3">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3">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3">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3">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3">
      <c r="A107">
        <v>22707</v>
      </c>
      <c r="B107" t="s">
        <v>37</v>
      </c>
      <c r="C107" t="s">
        <v>39</v>
      </c>
      <c r="D107" s="3">
        <v>30000</v>
      </c>
      <c r="E107">
        <v>0</v>
      </c>
      <c r="F107" t="s">
        <v>19</v>
      </c>
      <c r="G107" t="s">
        <v>20</v>
      </c>
      <c r="H107" t="s">
        <v>18</v>
      </c>
      <c r="I107">
        <v>1</v>
      </c>
      <c r="J107" t="s">
        <v>22</v>
      </c>
      <c r="K107" t="s">
        <v>17</v>
      </c>
      <c r="L107" t="str">
        <f t="shared" si="1"/>
        <v>Adolescent</v>
      </c>
      <c r="M107">
        <v>30</v>
      </c>
      <c r="N107" t="s">
        <v>18</v>
      </c>
    </row>
    <row r="108" spans="1:14" x14ac:dyDescent="0.3">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3">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3">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3">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3">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3">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3">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3">
      <c r="A116">
        <v>15030</v>
      </c>
      <c r="B116" t="s">
        <v>36</v>
      </c>
      <c r="C116" t="s">
        <v>38</v>
      </c>
      <c r="D116" s="3">
        <v>20000</v>
      </c>
      <c r="E116">
        <v>0</v>
      </c>
      <c r="F116" t="s">
        <v>13</v>
      </c>
      <c r="G116" t="s">
        <v>20</v>
      </c>
      <c r="H116" t="s">
        <v>15</v>
      </c>
      <c r="I116">
        <v>0</v>
      </c>
      <c r="J116" t="s">
        <v>16</v>
      </c>
      <c r="K116" t="s">
        <v>24</v>
      </c>
      <c r="L116" t="str">
        <f t="shared" si="1"/>
        <v>Adolescent</v>
      </c>
      <c r="M116">
        <v>26</v>
      </c>
      <c r="N116" t="s">
        <v>15</v>
      </c>
    </row>
    <row r="117" spans="1:14" x14ac:dyDescent="0.3">
      <c r="A117">
        <v>24140</v>
      </c>
      <c r="B117" t="s">
        <v>37</v>
      </c>
      <c r="C117" t="s">
        <v>38</v>
      </c>
      <c r="D117" s="3">
        <v>10000</v>
      </c>
      <c r="E117">
        <v>0</v>
      </c>
      <c r="F117" t="s">
        <v>31</v>
      </c>
      <c r="G117" t="s">
        <v>25</v>
      </c>
      <c r="H117" t="s">
        <v>18</v>
      </c>
      <c r="I117">
        <v>0</v>
      </c>
      <c r="J117" t="s">
        <v>16</v>
      </c>
      <c r="K117" t="s">
        <v>17</v>
      </c>
      <c r="L117" t="str">
        <f t="shared" si="1"/>
        <v>Adolescent</v>
      </c>
      <c r="M117">
        <v>30</v>
      </c>
      <c r="N117" t="s">
        <v>15</v>
      </c>
    </row>
    <row r="118" spans="1:14" x14ac:dyDescent="0.3">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3">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3">
      <c r="A121">
        <v>12871</v>
      </c>
      <c r="B121" t="s">
        <v>37</v>
      </c>
      <c r="C121" t="s">
        <v>39</v>
      </c>
      <c r="D121" s="3">
        <v>30000</v>
      </c>
      <c r="E121">
        <v>0</v>
      </c>
      <c r="F121" t="s">
        <v>19</v>
      </c>
      <c r="G121" t="s">
        <v>20</v>
      </c>
      <c r="H121" t="s">
        <v>18</v>
      </c>
      <c r="I121">
        <v>1</v>
      </c>
      <c r="J121" t="s">
        <v>22</v>
      </c>
      <c r="K121" t="s">
        <v>17</v>
      </c>
      <c r="L121" t="str">
        <f t="shared" si="1"/>
        <v>Adolescent</v>
      </c>
      <c r="M121">
        <v>29</v>
      </c>
      <c r="N121" t="s">
        <v>18</v>
      </c>
    </row>
    <row r="122" spans="1:14" x14ac:dyDescent="0.3">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3">
      <c r="A124">
        <v>12344</v>
      </c>
      <c r="B124" t="s">
        <v>37</v>
      </c>
      <c r="C124" t="s">
        <v>39</v>
      </c>
      <c r="D124" s="3">
        <v>80000</v>
      </c>
      <c r="E124">
        <v>0</v>
      </c>
      <c r="F124" t="s">
        <v>13</v>
      </c>
      <c r="G124" t="s">
        <v>21</v>
      </c>
      <c r="H124" t="s">
        <v>18</v>
      </c>
      <c r="I124">
        <v>3</v>
      </c>
      <c r="J124" t="s">
        <v>46</v>
      </c>
      <c r="K124" t="s">
        <v>24</v>
      </c>
      <c r="L124" t="str">
        <f t="shared" si="1"/>
        <v>Middle Age</v>
      </c>
      <c r="M124">
        <v>31</v>
      </c>
      <c r="N124" t="s">
        <v>18</v>
      </c>
    </row>
    <row r="125" spans="1:14" x14ac:dyDescent="0.3">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3">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3">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3">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3">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3">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3">
      <c r="A131">
        <v>26818</v>
      </c>
      <c r="B131" t="s">
        <v>37</v>
      </c>
      <c r="C131" t="s">
        <v>38</v>
      </c>
      <c r="D131" s="3">
        <v>10000</v>
      </c>
      <c r="E131">
        <v>3</v>
      </c>
      <c r="F131" t="s">
        <v>27</v>
      </c>
      <c r="G131" t="s">
        <v>25</v>
      </c>
      <c r="H131" t="s">
        <v>15</v>
      </c>
      <c r="I131">
        <v>1</v>
      </c>
      <c r="J131" t="s">
        <v>16</v>
      </c>
      <c r="K131" t="s">
        <v>17</v>
      </c>
      <c r="L131" t="str">
        <f t="shared" ref="L131:L194" si="2">IF(M131&gt;54,"Old",IF(M131&gt;=31,"Middle Age", IF(M131 &lt;31,"Adolescent","invalid")))</f>
        <v>Middle Age</v>
      </c>
      <c r="M131">
        <v>39</v>
      </c>
      <c r="N131" t="s">
        <v>15</v>
      </c>
    </row>
    <row r="132" spans="1:14" x14ac:dyDescent="0.3">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3">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3">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3">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3">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3">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3">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3">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3">
      <c r="A140">
        <v>24273</v>
      </c>
      <c r="B140" t="s">
        <v>36</v>
      </c>
      <c r="C140" t="s">
        <v>39</v>
      </c>
      <c r="D140" s="3">
        <v>20000</v>
      </c>
      <c r="E140">
        <v>2</v>
      </c>
      <c r="F140" t="s">
        <v>29</v>
      </c>
      <c r="G140" t="s">
        <v>20</v>
      </c>
      <c r="H140" t="s">
        <v>15</v>
      </c>
      <c r="I140">
        <v>2</v>
      </c>
      <c r="J140" t="s">
        <v>23</v>
      </c>
      <c r="K140" t="s">
        <v>24</v>
      </c>
      <c r="L140" t="str">
        <f t="shared" si="2"/>
        <v>Old</v>
      </c>
      <c r="M140">
        <v>55</v>
      </c>
      <c r="N140" t="s">
        <v>15</v>
      </c>
    </row>
    <row r="141" spans="1:14" x14ac:dyDescent="0.3">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3">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3">
      <c r="A143">
        <v>23993</v>
      </c>
      <c r="B143" t="s">
        <v>37</v>
      </c>
      <c r="C143" t="s">
        <v>39</v>
      </c>
      <c r="D143" s="3">
        <v>10000</v>
      </c>
      <c r="E143">
        <v>0</v>
      </c>
      <c r="F143" t="s">
        <v>19</v>
      </c>
      <c r="G143" t="s">
        <v>25</v>
      </c>
      <c r="H143" t="s">
        <v>18</v>
      </c>
      <c r="I143">
        <v>1</v>
      </c>
      <c r="J143" t="s">
        <v>16</v>
      </c>
      <c r="K143" t="s">
        <v>24</v>
      </c>
      <c r="L143" t="str">
        <f t="shared" si="2"/>
        <v>Adolescent</v>
      </c>
      <c r="M143">
        <v>26</v>
      </c>
      <c r="N143" t="s">
        <v>15</v>
      </c>
    </row>
    <row r="144" spans="1:14" x14ac:dyDescent="0.3">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3">
      <c r="A145">
        <v>16614</v>
      </c>
      <c r="B145" t="s">
        <v>36</v>
      </c>
      <c r="C145" t="s">
        <v>39</v>
      </c>
      <c r="D145" s="3">
        <v>80000</v>
      </c>
      <c r="E145">
        <v>0</v>
      </c>
      <c r="F145" t="s">
        <v>13</v>
      </c>
      <c r="G145" t="s">
        <v>21</v>
      </c>
      <c r="H145" t="s">
        <v>15</v>
      </c>
      <c r="I145">
        <v>3</v>
      </c>
      <c r="J145" t="s">
        <v>46</v>
      </c>
      <c r="K145" t="s">
        <v>24</v>
      </c>
      <c r="L145" t="str">
        <f t="shared" si="2"/>
        <v>Middle Age</v>
      </c>
      <c r="M145">
        <v>32</v>
      </c>
      <c r="N145" t="s">
        <v>18</v>
      </c>
    </row>
    <row r="146" spans="1:14" x14ac:dyDescent="0.3">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3">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3">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3">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3">
      <c r="A151">
        <v>12728</v>
      </c>
      <c r="B151" t="s">
        <v>37</v>
      </c>
      <c r="C151" t="s">
        <v>38</v>
      </c>
      <c r="D151" s="3">
        <v>30000</v>
      </c>
      <c r="E151">
        <v>0</v>
      </c>
      <c r="F151" t="s">
        <v>19</v>
      </c>
      <c r="G151" t="s">
        <v>20</v>
      </c>
      <c r="H151" t="s">
        <v>18</v>
      </c>
      <c r="I151">
        <v>1</v>
      </c>
      <c r="J151" t="s">
        <v>26</v>
      </c>
      <c r="K151" t="s">
        <v>17</v>
      </c>
      <c r="L151" t="str">
        <f t="shared" si="2"/>
        <v>Adolescent</v>
      </c>
      <c r="M151">
        <v>27</v>
      </c>
      <c r="N151" t="s">
        <v>18</v>
      </c>
    </row>
    <row r="152" spans="1:14" x14ac:dyDescent="0.3">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3">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3">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3">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3">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3">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3">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3">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3">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3">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3">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3">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3">
      <c r="A166">
        <v>22402</v>
      </c>
      <c r="B166" t="s">
        <v>36</v>
      </c>
      <c r="C166" t="s">
        <v>38</v>
      </c>
      <c r="D166" s="3">
        <v>10000</v>
      </c>
      <c r="E166">
        <v>0</v>
      </c>
      <c r="F166" t="s">
        <v>19</v>
      </c>
      <c r="G166" t="s">
        <v>25</v>
      </c>
      <c r="H166" t="s">
        <v>15</v>
      </c>
      <c r="I166">
        <v>1</v>
      </c>
      <c r="J166" t="s">
        <v>22</v>
      </c>
      <c r="K166" t="s">
        <v>24</v>
      </c>
      <c r="L166" t="str">
        <f t="shared" si="2"/>
        <v>Adolescent</v>
      </c>
      <c r="M166">
        <v>25</v>
      </c>
      <c r="N166" t="s">
        <v>15</v>
      </c>
    </row>
    <row r="167" spans="1:14" x14ac:dyDescent="0.3">
      <c r="A167">
        <v>15465</v>
      </c>
      <c r="B167" t="s">
        <v>36</v>
      </c>
      <c r="C167" t="s">
        <v>39</v>
      </c>
      <c r="D167" s="3">
        <v>10000</v>
      </c>
      <c r="E167">
        <v>0</v>
      </c>
      <c r="F167" t="s">
        <v>19</v>
      </c>
      <c r="G167" t="s">
        <v>25</v>
      </c>
      <c r="H167" t="s">
        <v>18</v>
      </c>
      <c r="I167">
        <v>1</v>
      </c>
      <c r="J167" t="s">
        <v>16</v>
      </c>
      <c r="K167" t="s">
        <v>24</v>
      </c>
      <c r="L167" t="str">
        <f t="shared" si="2"/>
        <v>Adolescent</v>
      </c>
      <c r="M167">
        <v>25</v>
      </c>
      <c r="N167" t="s">
        <v>18</v>
      </c>
    </row>
    <row r="168" spans="1:14" x14ac:dyDescent="0.3">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3">
      <c r="A169">
        <v>14233</v>
      </c>
      <c r="B169" t="s">
        <v>37</v>
      </c>
      <c r="C169" t="s">
        <v>38</v>
      </c>
      <c r="D169" s="3">
        <v>100000</v>
      </c>
      <c r="E169">
        <v>0</v>
      </c>
      <c r="F169" t="s">
        <v>27</v>
      </c>
      <c r="G169" t="s">
        <v>28</v>
      </c>
      <c r="H169" t="s">
        <v>15</v>
      </c>
      <c r="I169">
        <v>3</v>
      </c>
      <c r="J169" t="s">
        <v>46</v>
      </c>
      <c r="K169" t="s">
        <v>24</v>
      </c>
      <c r="L169" t="str">
        <f t="shared" si="2"/>
        <v>Middle Age</v>
      </c>
      <c r="M169">
        <v>35</v>
      </c>
      <c r="N169" t="s">
        <v>18</v>
      </c>
    </row>
    <row r="170" spans="1:14" x14ac:dyDescent="0.3">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3">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3">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3">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3">
      <c r="A175">
        <v>17907</v>
      </c>
      <c r="B175" t="s">
        <v>36</v>
      </c>
      <c r="C175" t="s">
        <v>39</v>
      </c>
      <c r="D175" s="3">
        <v>10000</v>
      </c>
      <c r="E175">
        <v>0</v>
      </c>
      <c r="F175" t="s">
        <v>19</v>
      </c>
      <c r="G175" t="s">
        <v>25</v>
      </c>
      <c r="H175" t="s">
        <v>15</v>
      </c>
      <c r="I175">
        <v>1</v>
      </c>
      <c r="J175" t="s">
        <v>22</v>
      </c>
      <c r="K175" t="s">
        <v>24</v>
      </c>
      <c r="L175" t="str">
        <f t="shared" si="2"/>
        <v>Adolescent</v>
      </c>
      <c r="M175">
        <v>27</v>
      </c>
      <c r="N175" t="s">
        <v>18</v>
      </c>
    </row>
    <row r="176" spans="1:14" x14ac:dyDescent="0.3">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3">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3">
      <c r="A178">
        <v>12253</v>
      </c>
      <c r="B178" t="s">
        <v>37</v>
      </c>
      <c r="C178" t="s">
        <v>39</v>
      </c>
      <c r="D178" s="3">
        <v>20000</v>
      </c>
      <c r="E178">
        <v>0</v>
      </c>
      <c r="F178" t="s">
        <v>19</v>
      </c>
      <c r="G178" t="s">
        <v>25</v>
      </c>
      <c r="H178" t="s">
        <v>15</v>
      </c>
      <c r="I178">
        <v>0</v>
      </c>
      <c r="J178" t="s">
        <v>16</v>
      </c>
      <c r="K178" t="s">
        <v>24</v>
      </c>
      <c r="L178" t="str">
        <f t="shared" si="2"/>
        <v>Adolescent</v>
      </c>
      <c r="M178">
        <v>29</v>
      </c>
      <c r="N178" t="s">
        <v>15</v>
      </c>
    </row>
    <row r="179" spans="1:14" x14ac:dyDescent="0.3">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3">
      <c r="A180">
        <v>14191</v>
      </c>
      <c r="B180" t="s">
        <v>36</v>
      </c>
      <c r="C180" t="s">
        <v>38</v>
      </c>
      <c r="D180" s="3">
        <v>160000</v>
      </c>
      <c r="E180">
        <v>4</v>
      </c>
      <c r="F180" t="s">
        <v>19</v>
      </c>
      <c r="G180" t="s">
        <v>21</v>
      </c>
      <c r="H180" t="s">
        <v>18</v>
      </c>
      <c r="I180">
        <v>2</v>
      </c>
      <c r="J180" t="s">
        <v>46</v>
      </c>
      <c r="K180" t="s">
        <v>17</v>
      </c>
      <c r="L180" t="str">
        <f t="shared" si="2"/>
        <v>Old</v>
      </c>
      <c r="M180">
        <v>55</v>
      </c>
      <c r="N180" t="s">
        <v>15</v>
      </c>
    </row>
    <row r="181" spans="1:14" x14ac:dyDescent="0.3">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3">
      <c r="A183">
        <v>22170</v>
      </c>
      <c r="B183" t="s">
        <v>36</v>
      </c>
      <c r="C183" t="s">
        <v>39</v>
      </c>
      <c r="D183" s="3">
        <v>30000</v>
      </c>
      <c r="E183">
        <v>3</v>
      </c>
      <c r="F183" t="s">
        <v>19</v>
      </c>
      <c r="G183" t="s">
        <v>20</v>
      </c>
      <c r="H183" t="s">
        <v>18</v>
      </c>
      <c r="I183">
        <v>2</v>
      </c>
      <c r="J183" t="s">
        <v>26</v>
      </c>
      <c r="K183" t="s">
        <v>24</v>
      </c>
      <c r="L183" t="str">
        <f t="shared" si="2"/>
        <v>Old</v>
      </c>
      <c r="M183">
        <v>55</v>
      </c>
      <c r="N183" t="s">
        <v>15</v>
      </c>
    </row>
    <row r="184" spans="1:14" x14ac:dyDescent="0.3">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3">
      <c r="A186">
        <v>28918</v>
      </c>
      <c r="B186" t="s">
        <v>36</v>
      </c>
      <c r="C186" t="s">
        <v>39</v>
      </c>
      <c r="D186" s="3">
        <v>130000</v>
      </c>
      <c r="E186">
        <v>4</v>
      </c>
      <c r="F186" t="s">
        <v>27</v>
      </c>
      <c r="G186" t="s">
        <v>28</v>
      </c>
      <c r="H186" t="s">
        <v>18</v>
      </c>
      <c r="I186">
        <v>4</v>
      </c>
      <c r="J186" t="s">
        <v>46</v>
      </c>
      <c r="K186" t="s">
        <v>17</v>
      </c>
      <c r="L186" t="str">
        <f t="shared" si="2"/>
        <v>Old</v>
      </c>
      <c r="M186">
        <v>58</v>
      </c>
      <c r="N186" t="s">
        <v>18</v>
      </c>
    </row>
    <row r="187" spans="1:14" x14ac:dyDescent="0.3">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
      <c r="A189">
        <v>18151</v>
      </c>
      <c r="B189" t="s">
        <v>37</v>
      </c>
      <c r="C189" t="s">
        <v>38</v>
      </c>
      <c r="D189" s="3">
        <v>80000</v>
      </c>
      <c r="E189">
        <v>5</v>
      </c>
      <c r="F189" t="s">
        <v>19</v>
      </c>
      <c r="G189" t="s">
        <v>21</v>
      </c>
      <c r="H189" t="s">
        <v>18</v>
      </c>
      <c r="I189">
        <v>2</v>
      </c>
      <c r="J189" t="s">
        <v>46</v>
      </c>
      <c r="K189" t="s">
        <v>17</v>
      </c>
      <c r="L189" t="str">
        <f t="shared" si="2"/>
        <v>Old</v>
      </c>
      <c r="M189">
        <v>59</v>
      </c>
      <c r="N189" t="s">
        <v>18</v>
      </c>
    </row>
    <row r="190" spans="1:14" x14ac:dyDescent="0.3">
      <c r="A190">
        <v>20606</v>
      </c>
      <c r="B190" t="s">
        <v>36</v>
      </c>
      <c r="C190" t="s">
        <v>39</v>
      </c>
      <c r="D190" s="3">
        <v>70000</v>
      </c>
      <c r="E190">
        <v>0</v>
      </c>
      <c r="F190" t="s">
        <v>13</v>
      </c>
      <c r="G190" t="s">
        <v>21</v>
      </c>
      <c r="H190" t="s">
        <v>15</v>
      </c>
      <c r="I190">
        <v>4</v>
      </c>
      <c r="J190" t="s">
        <v>46</v>
      </c>
      <c r="K190" t="s">
        <v>24</v>
      </c>
      <c r="L190" t="str">
        <f t="shared" si="2"/>
        <v>Middle Age</v>
      </c>
      <c r="M190">
        <v>32</v>
      </c>
      <c r="N190" t="s">
        <v>15</v>
      </c>
    </row>
    <row r="191" spans="1:14" x14ac:dyDescent="0.3">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3">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3">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3">
      <c r="A194">
        <v>15682</v>
      </c>
      <c r="B194" t="s">
        <v>37</v>
      </c>
      <c r="C194" t="s">
        <v>39</v>
      </c>
      <c r="D194" s="3">
        <v>80000</v>
      </c>
      <c r="E194">
        <v>5</v>
      </c>
      <c r="F194" t="s">
        <v>13</v>
      </c>
      <c r="G194" t="s">
        <v>28</v>
      </c>
      <c r="H194" t="s">
        <v>15</v>
      </c>
      <c r="I194">
        <v>2</v>
      </c>
      <c r="J194" t="s">
        <v>46</v>
      </c>
      <c r="K194" t="s">
        <v>17</v>
      </c>
      <c r="L194" t="str">
        <f t="shared" si="2"/>
        <v>Old</v>
      </c>
      <c r="M194">
        <v>62</v>
      </c>
      <c r="N194" t="s">
        <v>18</v>
      </c>
    </row>
    <row r="195" spans="1:14" x14ac:dyDescent="0.3">
      <c r="A195">
        <v>26032</v>
      </c>
      <c r="B195" t="s">
        <v>36</v>
      </c>
      <c r="C195" t="s">
        <v>39</v>
      </c>
      <c r="D195" s="3">
        <v>70000</v>
      </c>
      <c r="E195">
        <v>5</v>
      </c>
      <c r="F195" t="s">
        <v>13</v>
      </c>
      <c r="G195" t="s">
        <v>21</v>
      </c>
      <c r="H195" t="s">
        <v>15</v>
      </c>
      <c r="I195">
        <v>4</v>
      </c>
      <c r="J195" t="s">
        <v>46</v>
      </c>
      <c r="K195" t="s">
        <v>24</v>
      </c>
      <c r="L195" t="str">
        <f t="shared" ref="L195:L258" si="3">IF(M195&gt;54,"Old",IF(M195&gt;=31,"Middle Age", IF(M195 &lt;31,"Adolescent","invalid")))</f>
        <v>Middle Age</v>
      </c>
      <c r="M195">
        <v>41</v>
      </c>
      <c r="N195" t="s">
        <v>18</v>
      </c>
    </row>
    <row r="196" spans="1:14" x14ac:dyDescent="0.3">
      <c r="A196">
        <v>17843</v>
      </c>
      <c r="B196" t="s">
        <v>37</v>
      </c>
      <c r="C196" t="s">
        <v>39</v>
      </c>
      <c r="D196" s="3">
        <v>10000</v>
      </c>
      <c r="E196">
        <v>0</v>
      </c>
      <c r="F196" t="s">
        <v>29</v>
      </c>
      <c r="G196" t="s">
        <v>25</v>
      </c>
      <c r="H196" t="s">
        <v>18</v>
      </c>
      <c r="I196">
        <v>2</v>
      </c>
      <c r="J196" t="s">
        <v>16</v>
      </c>
      <c r="K196" t="s">
        <v>17</v>
      </c>
      <c r="L196" t="str">
        <f t="shared" si="3"/>
        <v>Middle Age</v>
      </c>
      <c r="M196">
        <v>32</v>
      </c>
      <c r="N196" t="s">
        <v>18</v>
      </c>
    </row>
    <row r="197" spans="1:14" x14ac:dyDescent="0.3">
      <c r="A197">
        <v>25559</v>
      </c>
      <c r="B197" t="s">
        <v>37</v>
      </c>
      <c r="C197" t="s">
        <v>38</v>
      </c>
      <c r="D197" s="3">
        <v>20000</v>
      </c>
      <c r="E197">
        <v>0</v>
      </c>
      <c r="F197" t="s">
        <v>13</v>
      </c>
      <c r="G197" t="s">
        <v>20</v>
      </c>
      <c r="H197" t="s">
        <v>15</v>
      </c>
      <c r="I197">
        <v>0</v>
      </c>
      <c r="J197" t="s">
        <v>16</v>
      </c>
      <c r="K197" t="s">
        <v>24</v>
      </c>
      <c r="L197" t="str">
        <f t="shared" si="3"/>
        <v>Adolescent</v>
      </c>
      <c r="M197">
        <v>25</v>
      </c>
      <c r="N197" t="s">
        <v>15</v>
      </c>
    </row>
    <row r="198" spans="1:14" x14ac:dyDescent="0.3">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3">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3">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3">
      <c r="A201">
        <v>11453</v>
      </c>
      <c r="B201" t="s">
        <v>37</v>
      </c>
      <c r="C201" t="s">
        <v>38</v>
      </c>
      <c r="D201" s="3">
        <v>80000</v>
      </c>
      <c r="E201">
        <v>0</v>
      </c>
      <c r="F201" t="s">
        <v>13</v>
      </c>
      <c r="G201" t="s">
        <v>21</v>
      </c>
      <c r="H201" t="s">
        <v>18</v>
      </c>
      <c r="I201">
        <v>3</v>
      </c>
      <c r="J201" t="s">
        <v>46</v>
      </c>
      <c r="K201" t="s">
        <v>24</v>
      </c>
      <c r="L201" t="str">
        <f t="shared" si="3"/>
        <v>Middle Age</v>
      </c>
      <c r="M201">
        <v>33</v>
      </c>
      <c r="N201" t="s">
        <v>15</v>
      </c>
    </row>
    <row r="202" spans="1:14" x14ac:dyDescent="0.3">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3">
      <c r="A203">
        <v>12585</v>
      </c>
      <c r="B203" t="s">
        <v>36</v>
      </c>
      <c r="C203" t="s">
        <v>38</v>
      </c>
      <c r="D203" s="3">
        <v>10000</v>
      </c>
      <c r="E203">
        <v>1</v>
      </c>
      <c r="F203" t="s">
        <v>27</v>
      </c>
      <c r="G203" t="s">
        <v>25</v>
      </c>
      <c r="H203" t="s">
        <v>15</v>
      </c>
      <c r="I203">
        <v>0</v>
      </c>
      <c r="J203" t="s">
        <v>22</v>
      </c>
      <c r="K203" t="s">
        <v>24</v>
      </c>
      <c r="L203" t="str">
        <f t="shared" si="3"/>
        <v>Adolescent</v>
      </c>
      <c r="M203">
        <v>27</v>
      </c>
      <c r="N203" t="s">
        <v>15</v>
      </c>
    </row>
    <row r="204" spans="1:14" x14ac:dyDescent="0.3">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3">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3">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3">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3">
      <c r="A208">
        <v>11415</v>
      </c>
      <c r="B208" t="s">
        <v>37</v>
      </c>
      <c r="C208" t="s">
        <v>38</v>
      </c>
      <c r="D208" s="3">
        <v>90000</v>
      </c>
      <c r="E208">
        <v>5</v>
      </c>
      <c r="F208" t="s">
        <v>19</v>
      </c>
      <c r="G208" t="s">
        <v>21</v>
      </c>
      <c r="H208" t="s">
        <v>18</v>
      </c>
      <c r="I208">
        <v>2</v>
      </c>
      <c r="J208" t="s">
        <v>46</v>
      </c>
      <c r="K208" t="s">
        <v>17</v>
      </c>
      <c r="L208" t="str">
        <f t="shared" si="3"/>
        <v>Old</v>
      </c>
      <c r="M208">
        <v>62</v>
      </c>
      <c r="N208" t="s">
        <v>18</v>
      </c>
    </row>
    <row r="209" spans="1:14" x14ac:dyDescent="0.3">
      <c r="A209">
        <v>28729</v>
      </c>
      <c r="B209" t="s">
        <v>37</v>
      </c>
      <c r="C209" t="s">
        <v>39</v>
      </c>
      <c r="D209" s="3">
        <v>20000</v>
      </c>
      <c r="E209">
        <v>0</v>
      </c>
      <c r="F209" t="s">
        <v>29</v>
      </c>
      <c r="G209" t="s">
        <v>25</v>
      </c>
      <c r="H209" t="s">
        <v>15</v>
      </c>
      <c r="I209">
        <v>2</v>
      </c>
      <c r="J209" t="s">
        <v>26</v>
      </c>
      <c r="K209" t="s">
        <v>17</v>
      </c>
      <c r="L209" t="str">
        <f t="shared" si="3"/>
        <v>Adolescent</v>
      </c>
      <c r="M209">
        <v>26</v>
      </c>
      <c r="N209" t="s">
        <v>15</v>
      </c>
    </row>
    <row r="210" spans="1:14" x14ac:dyDescent="0.3">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3">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3">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
      <c r="A214">
        <v>20946</v>
      </c>
      <c r="B214" t="s">
        <v>37</v>
      </c>
      <c r="C214" t="s">
        <v>39</v>
      </c>
      <c r="D214" s="3">
        <v>30000</v>
      </c>
      <c r="E214">
        <v>0</v>
      </c>
      <c r="F214" t="s">
        <v>19</v>
      </c>
      <c r="G214" t="s">
        <v>20</v>
      </c>
      <c r="H214" t="s">
        <v>18</v>
      </c>
      <c r="I214">
        <v>1</v>
      </c>
      <c r="J214" t="s">
        <v>22</v>
      </c>
      <c r="K214" t="s">
        <v>17</v>
      </c>
      <c r="L214" t="str">
        <f t="shared" si="3"/>
        <v>Adolescent</v>
      </c>
      <c r="M214">
        <v>30</v>
      </c>
      <c r="N214" t="s">
        <v>18</v>
      </c>
    </row>
    <row r="215" spans="1:14" x14ac:dyDescent="0.3">
      <c r="A215">
        <v>11451</v>
      </c>
      <c r="B215" t="s">
        <v>37</v>
      </c>
      <c r="C215" t="s">
        <v>38</v>
      </c>
      <c r="D215" s="3">
        <v>70000</v>
      </c>
      <c r="E215">
        <v>0</v>
      </c>
      <c r="F215" t="s">
        <v>13</v>
      </c>
      <c r="G215" t="s">
        <v>21</v>
      </c>
      <c r="H215" t="s">
        <v>18</v>
      </c>
      <c r="I215">
        <v>4</v>
      </c>
      <c r="J215" t="s">
        <v>46</v>
      </c>
      <c r="K215" t="s">
        <v>24</v>
      </c>
      <c r="L215" t="str">
        <f t="shared" si="3"/>
        <v>Middle Age</v>
      </c>
      <c r="M215">
        <v>31</v>
      </c>
      <c r="N215" t="s">
        <v>15</v>
      </c>
    </row>
    <row r="216" spans="1:14" x14ac:dyDescent="0.3">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3">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3">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3">
      <c r="A219">
        <v>13673</v>
      </c>
      <c r="B219" t="s">
        <v>37</v>
      </c>
      <c r="C219" t="s">
        <v>39</v>
      </c>
      <c r="D219" s="3">
        <v>20000</v>
      </c>
      <c r="E219">
        <v>0</v>
      </c>
      <c r="F219" t="s">
        <v>29</v>
      </c>
      <c r="G219" t="s">
        <v>25</v>
      </c>
      <c r="H219" t="s">
        <v>18</v>
      </c>
      <c r="I219">
        <v>2</v>
      </c>
      <c r="J219" t="s">
        <v>16</v>
      </c>
      <c r="K219" t="s">
        <v>17</v>
      </c>
      <c r="L219" t="str">
        <f t="shared" si="3"/>
        <v>Adolescent</v>
      </c>
      <c r="M219">
        <v>25</v>
      </c>
      <c r="N219" t="s">
        <v>18</v>
      </c>
    </row>
    <row r="220" spans="1:14" x14ac:dyDescent="0.3">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3">
      <c r="A221">
        <v>22399</v>
      </c>
      <c r="B221" t="s">
        <v>37</v>
      </c>
      <c r="C221" t="s">
        <v>38</v>
      </c>
      <c r="D221" s="3">
        <v>10000</v>
      </c>
      <c r="E221">
        <v>0</v>
      </c>
      <c r="F221" t="s">
        <v>19</v>
      </c>
      <c r="G221" t="s">
        <v>25</v>
      </c>
      <c r="H221" t="s">
        <v>15</v>
      </c>
      <c r="I221">
        <v>1</v>
      </c>
      <c r="J221" t="s">
        <v>26</v>
      </c>
      <c r="K221" t="s">
        <v>24</v>
      </c>
      <c r="L221" t="str">
        <f t="shared" si="3"/>
        <v>Adolescent</v>
      </c>
      <c r="M221">
        <v>26</v>
      </c>
      <c r="N221" t="s">
        <v>15</v>
      </c>
    </row>
    <row r="222" spans="1:14" x14ac:dyDescent="0.3">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3">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3">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3">
      <c r="A225">
        <v>18711</v>
      </c>
      <c r="B225" t="s">
        <v>37</v>
      </c>
      <c r="C225" t="s">
        <v>39</v>
      </c>
      <c r="D225" s="3">
        <v>70000</v>
      </c>
      <c r="E225">
        <v>5</v>
      </c>
      <c r="F225" t="s">
        <v>13</v>
      </c>
      <c r="G225" t="s">
        <v>21</v>
      </c>
      <c r="H225" t="s">
        <v>15</v>
      </c>
      <c r="I225">
        <v>4</v>
      </c>
      <c r="J225" t="s">
        <v>46</v>
      </c>
      <c r="K225" t="s">
        <v>24</v>
      </c>
      <c r="L225" t="str">
        <f t="shared" si="3"/>
        <v>Middle Age</v>
      </c>
      <c r="M225">
        <v>39</v>
      </c>
      <c r="N225" t="s">
        <v>18</v>
      </c>
    </row>
    <row r="226" spans="1:14" x14ac:dyDescent="0.3">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3">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3">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3">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3">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
      <c r="A231">
        <v>28915</v>
      </c>
      <c r="B231" t="s">
        <v>37</v>
      </c>
      <c r="C231" t="s">
        <v>38</v>
      </c>
      <c r="D231" s="3">
        <v>80000</v>
      </c>
      <c r="E231">
        <v>5</v>
      </c>
      <c r="F231" t="s">
        <v>27</v>
      </c>
      <c r="G231" t="s">
        <v>28</v>
      </c>
      <c r="H231" t="s">
        <v>15</v>
      </c>
      <c r="I231">
        <v>3</v>
      </c>
      <c r="J231" t="s">
        <v>46</v>
      </c>
      <c r="K231" t="s">
        <v>17</v>
      </c>
      <c r="L231" t="str">
        <f t="shared" si="3"/>
        <v>Old</v>
      </c>
      <c r="M231">
        <v>57</v>
      </c>
      <c r="N231" t="s">
        <v>18</v>
      </c>
    </row>
    <row r="232" spans="1:14" x14ac:dyDescent="0.3">
      <c r="A232">
        <v>22830</v>
      </c>
      <c r="B232" t="s">
        <v>36</v>
      </c>
      <c r="C232" t="s">
        <v>38</v>
      </c>
      <c r="D232" s="3">
        <v>120000</v>
      </c>
      <c r="E232">
        <v>4</v>
      </c>
      <c r="F232" t="s">
        <v>19</v>
      </c>
      <c r="G232" t="s">
        <v>28</v>
      </c>
      <c r="H232" t="s">
        <v>15</v>
      </c>
      <c r="I232">
        <v>3</v>
      </c>
      <c r="J232" t="s">
        <v>46</v>
      </c>
      <c r="K232" t="s">
        <v>17</v>
      </c>
      <c r="L232" t="str">
        <f t="shared" si="3"/>
        <v>Old</v>
      </c>
      <c r="M232">
        <v>56</v>
      </c>
      <c r="N232" t="s">
        <v>18</v>
      </c>
    </row>
    <row r="233" spans="1:14" x14ac:dyDescent="0.3">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
      <c r="A235">
        <v>24174</v>
      </c>
      <c r="B235" t="s">
        <v>36</v>
      </c>
      <c r="C235" t="s">
        <v>38</v>
      </c>
      <c r="D235" s="3">
        <v>20000</v>
      </c>
      <c r="E235">
        <v>0</v>
      </c>
      <c r="F235" t="s">
        <v>13</v>
      </c>
      <c r="G235" t="s">
        <v>20</v>
      </c>
      <c r="H235" t="s">
        <v>15</v>
      </c>
      <c r="I235">
        <v>0</v>
      </c>
      <c r="J235" t="s">
        <v>16</v>
      </c>
      <c r="K235" t="s">
        <v>24</v>
      </c>
      <c r="L235" t="str">
        <f t="shared" si="3"/>
        <v>Adolescent</v>
      </c>
      <c r="M235">
        <v>27</v>
      </c>
      <c r="N235" t="s">
        <v>15</v>
      </c>
    </row>
    <row r="236" spans="1:14" x14ac:dyDescent="0.3">
      <c r="A236">
        <v>24611</v>
      </c>
      <c r="B236" t="s">
        <v>37</v>
      </c>
      <c r="C236" t="s">
        <v>38</v>
      </c>
      <c r="D236" s="3">
        <v>90000</v>
      </c>
      <c r="E236">
        <v>0</v>
      </c>
      <c r="F236" t="s">
        <v>13</v>
      </c>
      <c r="G236" t="s">
        <v>21</v>
      </c>
      <c r="H236" t="s">
        <v>18</v>
      </c>
      <c r="I236">
        <v>4</v>
      </c>
      <c r="J236" t="s">
        <v>46</v>
      </c>
      <c r="K236" t="s">
        <v>24</v>
      </c>
      <c r="L236" t="str">
        <f t="shared" si="3"/>
        <v>Middle Age</v>
      </c>
      <c r="M236">
        <v>35</v>
      </c>
      <c r="N236" t="s">
        <v>15</v>
      </c>
    </row>
    <row r="237" spans="1:14" x14ac:dyDescent="0.3">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3">
      <c r="A239">
        <v>25555</v>
      </c>
      <c r="B239" t="s">
        <v>36</v>
      </c>
      <c r="C239" t="s">
        <v>39</v>
      </c>
      <c r="D239" s="3">
        <v>10000</v>
      </c>
      <c r="E239">
        <v>0</v>
      </c>
      <c r="F239" t="s">
        <v>19</v>
      </c>
      <c r="G239" t="s">
        <v>25</v>
      </c>
      <c r="H239" t="s">
        <v>18</v>
      </c>
      <c r="I239">
        <v>1</v>
      </c>
      <c r="J239" t="s">
        <v>16</v>
      </c>
      <c r="K239" t="s">
        <v>24</v>
      </c>
      <c r="L239" t="str">
        <f t="shared" si="3"/>
        <v>Adolescent</v>
      </c>
      <c r="M239">
        <v>26</v>
      </c>
      <c r="N239" t="s">
        <v>15</v>
      </c>
    </row>
    <row r="240" spans="1:14" x14ac:dyDescent="0.3">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3">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3">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3">
      <c r="A243">
        <v>12503</v>
      </c>
      <c r="B243" t="s">
        <v>37</v>
      </c>
      <c r="C243" t="s">
        <v>39</v>
      </c>
      <c r="D243" s="3">
        <v>30000</v>
      </c>
      <c r="E243">
        <v>3</v>
      </c>
      <c r="F243" t="s">
        <v>19</v>
      </c>
      <c r="G243" t="s">
        <v>20</v>
      </c>
      <c r="H243" t="s">
        <v>15</v>
      </c>
      <c r="I243">
        <v>2</v>
      </c>
      <c r="J243" t="s">
        <v>16</v>
      </c>
      <c r="K243" t="s">
        <v>17</v>
      </c>
      <c r="L243" t="str">
        <f t="shared" si="3"/>
        <v>Adolescent</v>
      </c>
      <c r="M243">
        <v>27</v>
      </c>
      <c r="N243" t="s">
        <v>18</v>
      </c>
    </row>
    <row r="244" spans="1:14" x14ac:dyDescent="0.3">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3">
      <c r="A245">
        <v>22527</v>
      </c>
      <c r="B245" t="s">
        <v>37</v>
      </c>
      <c r="C245" t="s">
        <v>39</v>
      </c>
      <c r="D245" s="3">
        <v>20000</v>
      </c>
      <c r="E245">
        <v>0</v>
      </c>
      <c r="F245" t="s">
        <v>27</v>
      </c>
      <c r="G245" t="s">
        <v>25</v>
      </c>
      <c r="H245" t="s">
        <v>18</v>
      </c>
      <c r="I245">
        <v>1</v>
      </c>
      <c r="J245" t="s">
        <v>22</v>
      </c>
      <c r="K245" t="s">
        <v>17</v>
      </c>
      <c r="L245" t="str">
        <f t="shared" si="3"/>
        <v>Adolescent</v>
      </c>
      <c r="M245">
        <v>29</v>
      </c>
      <c r="N245" t="s">
        <v>18</v>
      </c>
    </row>
    <row r="246" spans="1:14" x14ac:dyDescent="0.3">
      <c r="A246">
        <v>19057</v>
      </c>
      <c r="B246" t="s">
        <v>36</v>
      </c>
      <c r="C246" t="s">
        <v>39</v>
      </c>
      <c r="D246" s="3">
        <v>120000</v>
      </c>
      <c r="E246">
        <v>3</v>
      </c>
      <c r="F246" t="s">
        <v>13</v>
      </c>
      <c r="G246" t="s">
        <v>28</v>
      </c>
      <c r="H246" t="s">
        <v>18</v>
      </c>
      <c r="I246">
        <v>2</v>
      </c>
      <c r="J246" t="s">
        <v>46</v>
      </c>
      <c r="K246" t="s">
        <v>17</v>
      </c>
      <c r="L246" t="str">
        <f t="shared" si="3"/>
        <v>Middle Age</v>
      </c>
      <c r="M246">
        <v>52</v>
      </c>
      <c r="N246" t="s">
        <v>15</v>
      </c>
    </row>
    <row r="247" spans="1:14" x14ac:dyDescent="0.3">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3">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3">
      <c r="A249">
        <v>21568</v>
      </c>
      <c r="B249" t="s">
        <v>36</v>
      </c>
      <c r="C249" t="s">
        <v>39</v>
      </c>
      <c r="D249" s="3">
        <v>100000</v>
      </c>
      <c r="E249">
        <v>0</v>
      </c>
      <c r="F249" t="s">
        <v>27</v>
      </c>
      <c r="G249" t="s">
        <v>28</v>
      </c>
      <c r="H249" t="s">
        <v>15</v>
      </c>
      <c r="I249">
        <v>4</v>
      </c>
      <c r="J249" t="s">
        <v>46</v>
      </c>
      <c r="K249" t="s">
        <v>24</v>
      </c>
      <c r="L249" t="str">
        <f t="shared" si="3"/>
        <v>Middle Age</v>
      </c>
      <c r="M249">
        <v>34</v>
      </c>
      <c r="N249" t="s">
        <v>15</v>
      </c>
    </row>
    <row r="250" spans="1:14" x14ac:dyDescent="0.3">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3">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3">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3">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3">
      <c r="A255">
        <v>20598</v>
      </c>
      <c r="B255" t="s">
        <v>36</v>
      </c>
      <c r="C255" t="s">
        <v>38</v>
      </c>
      <c r="D255" s="3">
        <v>100000</v>
      </c>
      <c r="E255">
        <v>3</v>
      </c>
      <c r="F255" t="s">
        <v>29</v>
      </c>
      <c r="G255" t="s">
        <v>21</v>
      </c>
      <c r="H255" t="s">
        <v>15</v>
      </c>
      <c r="I255">
        <v>0</v>
      </c>
      <c r="J255" t="s">
        <v>46</v>
      </c>
      <c r="K255" t="s">
        <v>17</v>
      </c>
      <c r="L255" t="str">
        <f t="shared" si="3"/>
        <v>Old</v>
      </c>
      <c r="M255">
        <v>59</v>
      </c>
      <c r="N255" t="s">
        <v>15</v>
      </c>
    </row>
    <row r="256" spans="1:14" x14ac:dyDescent="0.3">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3">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3">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3">
      <c r="A259">
        <v>14164</v>
      </c>
      <c r="B259" t="s">
        <v>37</v>
      </c>
      <c r="C259" t="s">
        <v>39</v>
      </c>
      <c r="D259" s="3">
        <v>50000</v>
      </c>
      <c r="E259">
        <v>0</v>
      </c>
      <c r="F259" t="s">
        <v>31</v>
      </c>
      <c r="G259" t="s">
        <v>14</v>
      </c>
      <c r="H259" t="s">
        <v>15</v>
      </c>
      <c r="I259">
        <v>0</v>
      </c>
      <c r="J259" t="s">
        <v>16</v>
      </c>
      <c r="K259" t="s">
        <v>17</v>
      </c>
      <c r="L259" t="str">
        <f t="shared" ref="L259:L322" si="4">IF(M259&gt;54,"Old",IF(M259&gt;=31,"Middle Age", IF(M259 &lt;31,"Adolescent","invalid")))</f>
        <v>Middle Age</v>
      </c>
      <c r="M259">
        <v>36</v>
      </c>
      <c r="N259" t="s">
        <v>15</v>
      </c>
    </row>
    <row r="260" spans="1:14" x14ac:dyDescent="0.3">
      <c r="A260">
        <v>14193</v>
      </c>
      <c r="B260" t="s">
        <v>37</v>
      </c>
      <c r="C260" t="s">
        <v>39</v>
      </c>
      <c r="D260" s="3">
        <v>100000</v>
      </c>
      <c r="E260">
        <v>3</v>
      </c>
      <c r="F260" t="s">
        <v>19</v>
      </c>
      <c r="G260" t="s">
        <v>28</v>
      </c>
      <c r="H260" t="s">
        <v>15</v>
      </c>
      <c r="I260">
        <v>4</v>
      </c>
      <c r="J260" t="s">
        <v>46</v>
      </c>
      <c r="K260" t="s">
        <v>17</v>
      </c>
      <c r="L260" t="str">
        <f t="shared" si="4"/>
        <v>Old</v>
      </c>
      <c r="M260">
        <v>56</v>
      </c>
      <c r="N260" t="s">
        <v>18</v>
      </c>
    </row>
    <row r="261" spans="1:14" x14ac:dyDescent="0.3">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3">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3">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3">
      <c r="A265">
        <v>23419</v>
      </c>
      <c r="B265" t="s">
        <v>37</v>
      </c>
      <c r="C265" t="s">
        <v>39</v>
      </c>
      <c r="D265" s="3">
        <v>70000</v>
      </c>
      <c r="E265">
        <v>5</v>
      </c>
      <c r="F265" t="s">
        <v>13</v>
      </c>
      <c r="G265" t="s">
        <v>21</v>
      </c>
      <c r="H265" t="s">
        <v>15</v>
      </c>
      <c r="I265">
        <v>3</v>
      </c>
      <c r="J265" t="s">
        <v>46</v>
      </c>
      <c r="K265" t="s">
        <v>24</v>
      </c>
      <c r="L265" t="str">
        <f t="shared" si="4"/>
        <v>Middle Age</v>
      </c>
      <c r="M265">
        <v>39</v>
      </c>
      <c r="N265" t="s">
        <v>18</v>
      </c>
    </row>
    <row r="266" spans="1:14" x14ac:dyDescent="0.3">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3">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3">
      <c r="A268">
        <v>20927</v>
      </c>
      <c r="B268" t="s">
        <v>37</v>
      </c>
      <c r="C268" t="s">
        <v>39</v>
      </c>
      <c r="D268" s="3">
        <v>20000</v>
      </c>
      <c r="E268">
        <v>5</v>
      </c>
      <c r="F268" t="s">
        <v>27</v>
      </c>
      <c r="G268" t="s">
        <v>25</v>
      </c>
      <c r="H268" t="s">
        <v>15</v>
      </c>
      <c r="I268">
        <v>2</v>
      </c>
      <c r="J268" t="s">
        <v>16</v>
      </c>
      <c r="K268" t="s">
        <v>17</v>
      </c>
      <c r="L268" t="str">
        <f t="shared" si="4"/>
        <v>Adolescent</v>
      </c>
      <c r="M268">
        <v>27</v>
      </c>
      <c r="N268" t="s">
        <v>18</v>
      </c>
    </row>
    <row r="269" spans="1:14" x14ac:dyDescent="0.3">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3">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3">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3">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3">
      <c r="A273">
        <v>25665</v>
      </c>
      <c r="B273" t="s">
        <v>37</v>
      </c>
      <c r="C273" t="s">
        <v>39</v>
      </c>
      <c r="D273" s="3">
        <v>20000</v>
      </c>
      <c r="E273">
        <v>0</v>
      </c>
      <c r="F273" t="s">
        <v>27</v>
      </c>
      <c r="G273" t="s">
        <v>25</v>
      </c>
      <c r="H273" t="s">
        <v>18</v>
      </c>
      <c r="I273">
        <v>1</v>
      </c>
      <c r="J273" t="s">
        <v>26</v>
      </c>
      <c r="K273" t="s">
        <v>17</v>
      </c>
      <c r="L273" t="str">
        <f t="shared" si="4"/>
        <v>Adolescent</v>
      </c>
      <c r="M273">
        <v>28</v>
      </c>
      <c r="N273" t="s">
        <v>18</v>
      </c>
    </row>
    <row r="274" spans="1:14" x14ac:dyDescent="0.3">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3">
      <c r="A275">
        <v>26879</v>
      </c>
      <c r="B275" t="s">
        <v>37</v>
      </c>
      <c r="C275" t="s">
        <v>39</v>
      </c>
      <c r="D275" s="3">
        <v>20000</v>
      </c>
      <c r="E275">
        <v>0</v>
      </c>
      <c r="F275" t="s">
        <v>27</v>
      </c>
      <c r="G275" t="s">
        <v>25</v>
      </c>
      <c r="H275" t="s">
        <v>18</v>
      </c>
      <c r="I275">
        <v>1</v>
      </c>
      <c r="J275" t="s">
        <v>22</v>
      </c>
      <c r="K275" t="s">
        <v>17</v>
      </c>
      <c r="L275" t="str">
        <f t="shared" si="4"/>
        <v>Adolescent</v>
      </c>
      <c r="M275">
        <v>30</v>
      </c>
      <c r="N275" t="s">
        <v>18</v>
      </c>
    </row>
    <row r="276" spans="1:14" x14ac:dyDescent="0.3">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3">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
      <c r="A280">
        <v>20625</v>
      </c>
      <c r="B280" t="s">
        <v>36</v>
      </c>
      <c r="C280" t="s">
        <v>38</v>
      </c>
      <c r="D280" s="3">
        <v>100000</v>
      </c>
      <c r="E280">
        <v>0</v>
      </c>
      <c r="F280" t="s">
        <v>27</v>
      </c>
      <c r="G280" t="s">
        <v>28</v>
      </c>
      <c r="H280" t="s">
        <v>15</v>
      </c>
      <c r="I280">
        <v>3</v>
      </c>
      <c r="J280" t="s">
        <v>46</v>
      </c>
      <c r="K280" t="s">
        <v>24</v>
      </c>
      <c r="L280" t="str">
        <f t="shared" si="4"/>
        <v>Middle Age</v>
      </c>
      <c r="M280">
        <v>35</v>
      </c>
      <c r="N280" t="s">
        <v>15</v>
      </c>
    </row>
    <row r="281" spans="1:14" x14ac:dyDescent="0.3">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3">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3">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3">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3">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3">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3">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3">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3">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3">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3">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3">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3">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3">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3">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3">
      <c r="A297">
        <v>21557</v>
      </c>
      <c r="B297" t="s">
        <v>37</v>
      </c>
      <c r="C297" t="s">
        <v>39</v>
      </c>
      <c r="D297" s="3">
        <v>110000</v>
      </c>
      <c r="E297">
        <v>0</v>
      </c>
      <c r="F297" t="s">
        <v>19</v>
      </c>
      <c r="G297" t="s">
        <v>28</v>
      </c>
      <c r="H297" t="s">
        <v>15</v>
      </c>
      <c r="I297">
        <v>3</v>
      </c>
      <c r="J297" t="s">
        <v>46</v>
      </c>
      <c r="K297" t="s">
        <v>24</v>
      </c>
      <c r="L297" t="str">
        <f t="shared" si="4"/>
        <v>Middle Age</v>
      </c>
      <c r="M297">
        <v>32</v>
      </c>
      <c r="N297" t="s">
        <v>15</v>
      </c>
    </row>
    <row r="298" spans="1:14" x14ac:dyDescent="0.3">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3">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3">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3">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3">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3">
      <c r="A303">
        <v>17926</v>
      </c>
      <c r="B303" t="s">
        <v>37</v>
      </c>
      <c r="C303" t="s">
        <v>39</v>
      </c>
      <c r="D303" s="3">
        <v>40000</v>
      </c>
      <c r="E303">
        <v>0</v>
      </c>
      <c r="F303" t="s">
        <v>13</v>
      </c>
      <c r="G303" t="s">
        <v>20</v>
      </c>
      <c r="H303" t="s">
        <v>18</v>
      </c>
      <c r="I303">
        <v>0</v>
      </c>
      <c r="J303" t="s">
        <v>16</v>
      </c>
      <c r="K303" t="s">
        <v>24</v>
      </c>
      <c r="L303" t="str">
        <f t="shared" si="4"/>
        <v>Adolescent</v>
      </c>
      <c r="M303">
        <v>28</v>
      </c>
      <c r="N303" t="s">
        <v>15</v>
      </c>
    </row>
    <row r="304" spans="1:14" x14ac:dyDescent="0.3">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3">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3">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3">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3">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3">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3">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3">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3">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3">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3">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3">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3">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3">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3">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3">
      <c r="A320">
        <v>19066</v>
      </c>
      <c r="B320" t="s">
        <v>36</v>
      </c>
      <c r="C320" t="s">
        <v>38</v>
      </c>
      <c r="D320" s="3">
        <v>130000</v>
      </c>
      <c r="E320">
        <v>4</v>
      </c>
      <c r="F320" t="s">
        <v>19</v>
      </c>
      <c r="G320" t="s">
        <v>21</v>
      </c>
      <c r="H320" t="s">
        <v>18</v>
      </c>
      <c r="I320">
        <v>3</v>
      </c>
      <c r="J320" t="s">
        <v>46</v>
      </c>
      <c r="K320" t="s">
        <v>17</v>
      </c>
      <c r="L320" t="str">
        <f t="shared" si="4"/>
        <v>Middle Age</v>
      </c>
      <c r="M320">
        <v>54</v>
      </c>
      <c r="N320" t="s">
        <v>18</v>
      </c>
    </row>
    <row r="321" spans="1:14" x14ac:dyDescent="0.3">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3">
      <c r="A323">
        <v>16675</v>
      </c>
      <c r="B323" t="s">
        <v>37</v>
      </c>
      <c r="C323" t="s">
        <v>39</v>
      </c>
      <c r="D323" s="3">
        <v>160000</v>
      </c>
      <c r="E323">
        <v>0</v>
      </c>
      <c r="F323" t="s">
        <v>31</v>
      </c>
      <c r="G323" t="s">
        <v>28</v>
      </c>
      <c r="H323" t="s">
        <v>18</v>
      </c>
      <c r="I323">
        <v>3</v>
      </c>
      <c r="J323" t="s">
        <v>16</v>
      </c>
      <c r="K323" t="s">
        <v>24</v>
      </c>
      <c r="L323" t="str">
        <f t="shared" ref="L323:L386" si="5">IF(M323&gt;54,"Old",IF(M323&gt;=31,"Middle Age", IF(M323 &lt;31,"Adolescent","invalid")))</f>
        <v>Middle Age</v>
      </c>
      <c r="M323">
        <v>47</v>
      </c>
      <c r="N323" t="s">
        <v>15</v>
      </c>
    </row>
    <row r="324" spans="1:14" x14ac:dyDescent="0.3">
      <c r="A324">
        <v>16410</v>
      </c>
      <c r="B324" t="s">
        <v>37</v>
      </c>
      <c r="C324" t="s">
        <v>39</v>
      </c>
      <c r="D324" s="3">
        <v>10000</v>
      </c>
      <c r="E324">
        <v>4</v>
      </c>
      <c r="F324" t="s">
        <v>29</v>
      </c>
      <c r="G324" t="s">
        <v>25</v>
      </c>
      <c r="H324" t="s">
        <v>15</v>
      </c>
      <c r="I324">
        <v>2</v>
      </c>
      <c r="J324" t="s">
        <v>16</v>
      </c>
      <c r="K324" t="s">
        <v>17</v>
      </c>
      <c r="L324" t="str">
        <f t="shared" si="5"/>
        <v>Middle Age</v>
      </c>
      <c r="M324">
        <v>41</v>
      </c>
      <c r="N324" t="s">
        <v>15</v>
      </c>
    </row>
    <row r="325" spans="1:14" x14ac:dyDescent="0.3">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3">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3">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3">
      <c r="A328">
        <v>20994</v>
      </c>
      <c r="B328" t="s">
        <v>36</v>
      </c>
      <c r="C328" t="s">
        <v>39</v>
      </c>
      <c r="D328" s="3">
        <v>20000</v>
      </c>
      <c r="E328">
        <v>0</v>
      </c>
      <c r="F328" t="s">
        <v>13</v>
      </c>
      <c r="G328" t="s">
        <v>20</v>
      </c>
      <c r="H328" t="s">
        <v>18</v>
      </c>
      <c r="I328">
        <v>0</v>
      </c>
      <c r="J328" t="s">
        <v>16</v>
      </c>
      <c r="K328" t="s">
        <v>24</v>
      </c>
      <c r="L328" t="str">
        <f t="shared" si="5"/>
        <v>Adolescent</v>
      </c>
      <c r="M328">
        <v>26</v>
      </c>
      <c r="N328" t="s">
        <v>15</v>
      </c>
    </row>
    <row r="329" spans="1:14" x14ac:dyDescent="0.3">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3">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3">
      <c r="A331">
        <v>12663</v>
      </c>
      <c r="B331" t="s">
        <v>36</v>
      </c>
      <c r="C331" t="s">
        <v>39</v>
      </c>
      <c r="D331" s="3">
        <v>90000</v>
      </c>
      <c r="E331">
        <v>5</v>
      </c>
      <c r="F331" t="s">
        <v>29</v>
      </c>
      <c r="G331" t="s">
        <v>14</v>
      </c>
      <c r="H331" t="s">
        <v>15</v>
      </c>
      <c r="I331">
        <v>2</v>
      </c>
      <c r="J331" t="s">
        <v>46</v>
      </c>
      <c r="K331" t="s">
        <v>17</v>
      </c>
      <c r="L331" t="str">
        <f t="shared" si="5"/>
        <v>Old</v>
      </c>
      <c r="M331">
        <v>59</v>
      </c>
      <c r="N331" t="s">
        <v>18</v>
      </c>
    </row>
    <row r="332" spans="1:14" x14ac:dyDescent="0.3">
      <c r="A332">
        <v>24898</v>
      </c>
      <c r="B332" t="s">
        <v>37</v>
      </c>
      <c r="C332" t="s">
        <v>39</v>
      </c>
      <c r="D332" s="3">
        <v>80000</v>
      </c>
      <c r="E332">
        <v>0</v>
      </c>
      <c r="F332" t="s">
        <v>13</v>
      </c>
      <c r="G332" t="s">
        <v>21</v>
      </c>
      <c r="H332" t="s">
        <v>15</v>
      </c>
      <c r="I332">
        <v>3</v>
      </c>
      <c r="J332" t="s">
        <v>46</v>
      </c>
      <c r="K332" t="s">
        <v>24</v>
      </c>
      <c r="L332" t="str">
        <f t="shared" si="5"/>
        <v>Middle Age</v>
      </c>
      <c r="M332">
        <v>32</v>
      </c>
      <c r="N332" t="s">
        <v>18</v>
      </c>
    </row>
    <row r="333" spans="1:14" x14ac:dyDescent="0.3">
      <c r="A333">
        <v>19508</v>
      </c>
      <c r="B333" t="s">
        <v>36</v>
      </c>
      <c r="C333" t="s">
        <v>38</v>
      </c>
      <c r="D333" s="3">
        <v>10000</v>
      </c>
      <c r="E333">
        <v>0</v>
      </c>
      <c r="F333" t="s">
        <v>29</v>
      </c>
      <c r="G333" t="s">
        <v>25</v>
      </c>
      <c r="H333" t="s">
        <v>18</v>
      </c>
      <c r="I333">
        <v>2</v>
      </c>
      <c r="J333" t="s">
        <v>16</v>
      </c>
      <c r="K333" t="s">
        <v>17</v>
      </c>
      <c r="L333" t="str">
        <f t="shared" si="5"/>
        <v>Adolescent</v>
      </c>
      <c r="M333">
        <v>30</v>
      </c>
      <c r="N333" t="s">
        <v>18</v>
      </c>
    </row>
    <row r="334" spans="1:14" x14ac:dyDescent="0.3">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3">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3">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3">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3">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3">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3">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3">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3">
      <c r="A342">
        <v>16468</v>
      </c>
      <c r="B342" t="s">
        <v>37</v>
      </c>
      <c r="C342" t="s">
        <v>38</v>
      </c>
      <c r="D342" s="3">
        <v>30000</v>
      </c>
      <c r="E342">
        <v>0</v>
      </c>
      <c r="F342" t="s">
        <v>19</v>
      </c>
      <c r="G342" t="s">
        <v>20</v>
      </c>
      <c r="H342" t="s">
        <v>15</v>
      </c>
      <c r="I342">
        <v>1</v>
      </c>
      <c r="J342" t="s">
        <v>22</v>
      </c>
      <c r="K342" t="s">
        <v>17</v>
      </c>
      <c r="L342" t="str">
        <f t="shared" si="5"/>
        <v>Adolescent</v>
      </c>
      <c r="M342">
        <v>30</v>
      </c>
      <c r="N342" t="s">
        <v>18</v>
      </c>
    </row>
    <row r="343" spans="1:14" x14ac:dyDescent="0.3">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3">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3">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3">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3">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3">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3">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3">
      <c r="A351">
        <v>24121</v>
      </c>
      <c r="B351" t="s">
        <v>37</v>
      </c>
      <c r="C351" t="s">
        <v>39</v>
      </c>
      <c r="D351" s="3">
        <v>30000</v>
      </c>
      <c r="E351">
        <v>0</v>
      </c>
      <c r="F351" t="s">
        <v>19</v>
      </c>
      <c r="G351" t="s">
        <v>20</v>
      </c>
      <c r="H351" t="s">
        <v>18</v>
      </c>
      <c r="I351">
        <v>1</v>
      </c>
      <c r="J351" t="s">
        <v>16</v>
      </c>
      <c r="K351" t="s">
        <v>17</v>
      </c>
      <c r="L351" t="str">
        <f t="shared" si="5"/>
        <v>Adolescent</v>
      </c>
      <c r="M351">
        <v>29</v>
      </c>
      <c r="N351" t="s">
        <v>15</v>
      </c>
    </row>
    <row r="352" spans="1:14" x14ac:dyDescent="0.3">
      <c r="A352">
        <v>27878</v>
      </c>
      <c r="B352" t="s">
        <v>37</v>
      </c>
      <c r="C352" t="s">
        <v>38</v>
      </c>
      <c r="D352" s="3">
        <v>20000</v>
      </c>
      <c r="E352">
        <v>0</v>
      </c>
      <c r="F352" t="s">
        <v>19</v>
      </c>
      <c r="G352" t="s">
        <v>25</v>
      </c>
      <c r="H352" t="s">
        <v>18</v>
      </c>
      <c r="I352">
        <v>0</v>
      </c>
      <c r="J352" t="s">
        <v>16</v>
      </c>
      <c r="K352" t="s">
        <v>24</v>
      </c>
      <c r="L352" t="str">
        <f t="shared" si="5"/>
        <v>Adolescent</v>
      </c>
      <c r="M352">
        <v>28</v>
      </c>
      <c r="N352" t="s">
        <v>15</v>
      </c>
    </row>
    <row r="353" spans="1:14" x14ac:dyDescent="0.3">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3">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3">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3">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3">
      <c r="A357">
        <v>17238</v>
      </c>
      <c r="B357" t="s">
        <v>37</v>
      </c>
      <c r="C357" t="s">
        <v>38</v>
      </c>
      <c r="D357" s="3">
        <v>80000</v>
      </c>
      <c r="E357">
        <v>0</v>
      </c>
      <c r="F357" t="s">
        <v>13</v>
      </c>
      <c r="G357" t="s">
        <v>21</v>
      </c>
      <c r="H357" t="s">
        <v>15</v>
      </c>
      <c r="I357">
        <v>3</v>
      </c>
      <c r="J357" t="s">
        <v>46</v>
      </c>
      <c r="K357" t="s">
        <v>24</v>
      </c>
      <c r="L357" t="str">
        <f t="shared" si="5"/>
        <v>Middle Age</v>
      </c>
      <c r="M357">
        <v>32</v>
      </c>
      <c r="N357" t="s">
        <v>18</v>
      </c>
    </row>
    <row r="358" spans="1:14" x14ac:dyDescent="0.3">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3">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3">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3">
      <c r="A361">
        <v>17230</v>
      </c>
      <c r="B361" t="s">
        <v>36</v>
      </c>
      <c r="C361" t="s">
        <v>38</v>
      </c>
      <c r="D361" s="3">
        <v>80000</v>
      </c>
      <c r="E361">
        <v>0</v>
      </c>
      <c r="F361" t="s">
        <v>13</v>
      </c>
      <c r="G361" t="s">
        <v>21</v>
      </c>
      <c r="H361" t="s">
        <v>15</v>
      </c>
      <c r="I361">
        <v>3</v>
      </c>
      <c r="J361" t="s">
        <v>46</v>
      </c>
      <c r="K361" t="s">
        <v>24</v>
      </c>
      <c r="L361" t="str">
        <f t="shared" si="5"/>
        <v>Adolescent</v>
      </c>
      <c r="M361">
        <v>30</v>
      </c>
      <c r="N361" t="s">
        <v>18</v>
      </c>
    </row>
    <row r="362" spans="1:14" x14ac:dyDescent="0.3">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3">
      <c r="A363">
        <v>22518</v>
      </c>
      <c r="B363" t="s">
        <v>37</v>
      </c>
      <c r="C363" t="s">
        <v>39</v>
      </c>
      <c r="D363" s="3">
        <v>30000</v>
      </c>
      <c r="E363">
        <v>3</v>
      </c>
      <c r="F363" t="s">
        <v>19</v>
      </c>
      <c r="G363" t="s">
        <v>20</v>
      </c>
      <c r="H363" t="s">
        <v>18</v>
      </c>
      <c r="I363">
        <v>2</v>
      </c>
      <c r="J363" t="s">
        <v>16</v>
      </c>
      <c r="K363" t="s">
        <v>17</v>
      </c>
      <c r="L363" t="str">
        <f t="shared" si="5"/>
        <v>Adolescent</v>
      </c>
      <c r="M363">
        <v>27</v>
      </c>
      <c r="N363" t="s">
        <v>15</v>
      </c>
    </row>
    <row r="364" spans="1:14" x14ac:dyDescent="0.3">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3">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3">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3">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3">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3">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3">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3">
      <c r="A372">
        <v>17324</v>
      </c>
      <c r="B372" t="s">
        <v>36</v>
      </c>
      <c r="C372" t="s">
        <v>39</v>
      </c>
      <c r="D372" s="3">
        <v>100000</v>
      </c>
      <c r="E372">
        <v>4</v>
      </c>
      <c r="F372" t="s">
        <v>13</v>
      </c>
      <c r="G372" t="s">
        <v>21</v>
      </c>
      <c r="H372" t="s">
        <v>15</v>
      </c>
      <c r="I372">
        <v>1</v>
      </c>
      <c r="J372" t="s">
        <v>46</v>
      </c>
      <c r="K372" t="s">
        <v>24</v>
      </c>
      <c r="L372" t="str">
        <f t="shared" si="5"/>
        <v>Middle Age</v>
      </c>
      <c r="M372">
        <v>46</v>
      </c>
      <c r="N372" t="s">
        <v>18</v>
      </c>
    </row>
    <row r="373" spans="1:14" x14ac:dyDescent="0.3">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3">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3">
      <c r="A375">
        <v>25512</v>
      </c>
      <c r="B375" t="s">
        <v>37</v>
      </c>
      <c r="C375" t="s">
        <v>38</v>
      </c>
      <c r="D375" s="3">
        <v>20000</v>
      </c>
      <c r="E375">
        <v>0</v>
      </c>
      <c r="F375" t="s">
        <v>27</v>
      </c>
      <c r="G375" t="s">
        <v>25</v>
      </c>
      <c r="H375" t="s">
        <v>18</v>
      </c>
      <c r="I375">
        <v>1</v>
      </c>
      <c r="J375" t="s">
        <v>22</v>
      </c>
      <c r="K375" t="s">
        <v>17</v>
      </c>
      <c r="L375" t="str">
        <f t="shared" si="5"/>
        <v>Adolescent</v>
      </c>
      <c r="M375">
        <v>30</v>
      </c>
      <c r="N375" t="s">
        <v>18</v>
      </c>
    </row>
    <row r="376" spans="1:14" x14ac:dyDescent="0.3">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3">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3">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3">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3">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3">
      <c r="A382">
        <v>13620</v>
      </c>
      <c r="B382" t="s">
        <v>37</v>
      </c>
      <c r="C382" t="s">
        <v>38</v>
      </c>
      <c r="D382" s="3">
        <v>70000</v>
      </c>
      <c r="E382">
        <v>0</v>
      </c>
      <c r="F382" t="s">
        <v>13</v>
      </c>
      <c r="G382" t="s">
        <v>21</v>
      </c>
      <c r="H382" t="s">
        <v>18</v>
      </c>
      <c r="I382">
        <v>3</v>
      </c>
      <c r="J382" t="s">
        <v>46</v>
      </c>
      <c r="K382" t="s">
        <v>24</v>
      </c>
      <c r="L382" t="str">
        <f t="shared" si="5"/>
        <v>Adolescent</v>
      </c>
      <c r="M382">
        <v>30</v>
      </c>
      <c r="N382" t="s">
        <v>15</v>
      </c>
    </row>
    <row r="383" spans="1:14" x14ac:dyDescent="0.3">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3">
      <c r="A384">
        <v>13586</v>
      </c>
      <c r="B384" t="s">
        <v>36</v>
      </c>
      <c r="C384" t="s">
        <v>38</v>
      </c>
      <c r="D384" s="3">
        <v>80000</v>
      </c>
      <c r="E384">
        <v>4</v>
      </c>
      <c r="F384" t="s">
        <v>19</v>
      </c>
      <c r="G384" t="s">
        <v>21</v>
      </c>
      <c r="H384" t="s">
        <v>15</v>
      </c>
      <c r="I384">
        <v>2</v>
      </c>
      <c r="J384" t="s">
        <v>46</v>
      </c>
      <c r="K384" t="s">
        <v>17</v>
      </c>
      <c r="L384" t="str">
        <f t="shared" si="5"/>
        <v>Middle Age</v>
      </c>
      <c r="M384">
        <v>53</v>
      </c>
      <c r="N384" t="s">
        <v>18</v>
      </c>
    </row>
    <row r="385" spans="1:14" x14ac:dyDescent="0.3">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3">
      <c r="A386">
        <v>12581</v>
      </c>
      <c r="B386" t="s">
        <v>37</v>
      </c>
      <c r="C386" t="s">
        <v>39</v>
      </c>
      <c r="D386" s="3">
        <v>10000</v>
      </c>
      <c r="E386">
        <v>0</v>
      </c>
      <c r="F386" t="s">
        <v>19</v>
      </c>
      <c r="G386" t="s">
        <v>25</v>
      </c>
      <c r="H386" t="s">
        <v>18</v>
      </c>
      <c r="I386">
        <v>1</v>
      </c>
      <c r="J386" t="s">
        <v>16</v>
      </c>
      <c r="K386" t="s">
        <v>24</v>
      </c>
      <c r="L386" t="str">
        <f t="shared" si="5"/>
        <v>Adolescent</v>
      </c>
      <c r="M386">
        <v>28</v>
      </c>
      <c r="N386" t="s">
        <v>15</v>
      </c>
    </row>
    <row r="387" spans="1:14" x14ac:dyDescent="0.3">
      <c r="A387">
        <v>18018</v>
      </c>
      <c r="B387" t="s">
        <v>37</v>
      </c>
      <c r="C387" t="s">
        <v>38</v>
      </c>
      <c r="D387" s="3">
        <v>30000</v>
      </c>
      <c r="E387">
        <v>3</v>
      </c>
      <c r="F387" t="s">
        <v>19</v>
      </c>
      <c r="G387" t="s">
        <v>20</v>
      </c>
      <c r="H387" t="s">
        <v>15</v>
      </c>
      <c r="I387">
        <v>0</v>
      </c>
      <c r="J387" t="s">
        <v>16</v>
      </c>
      <c r="K387" t="s">
        <v>17</v>
      </c>
      <c r="L387" t="str">
        <f t="shared" ref="L387:L450" si="6">IF(M387&gt;54,"Old",IF(M387&gt;=31,"Middle Age", IF(M387 &lt;31,"Adolescent","invalid")))</f>
        <v>Middle Age</v>
      </c>
      <c r="M387">
        <v>43</v>
      </c>
      <c r="N387" t="s">
        <v>18</v>
      </c>
    </row>
    <row r="388" spans="1:14" x14ac:dyDescent="0.3">
      <c r="A388">
        <v>28957</v>
      </c>
      <c r="B388" t="s">
        <v>37</v>
      </c>
      <c r="C388" t="s">
        <v>39</v>
      </c>
      <c r="D388" s="3">
        <v>120000</v>
      </c>
      <c r="E388">
        <v>0</v>
      </c>
      <c r="F388" t="s">
        <v>29</v>
      </c>
      <c r="G388" t="s">
        <v>21</v>
      </c>
      <c r="H388" t="s">
        <v>15</v>
      </c>
      <c r="I388">
        <v>4</v>
      </c>
      <c r="J388" t="s">
        <v>46</v>
      </c>
      <c r="K388" t="s">
        <v>24</v>
      </c>
      <c r="L388" t="str">
        <f t="shared" si="6"/>
        <v>Middle Age</v>
      </c>
      <c r="M388">
        <v>34</v>
      </c>
      <c r="N388" t="s">
        <v>15</v>
      </c>
    </row>
    <row r="389" spans="1:14" x14ac:dyDescent="0.3">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3">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3">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3">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3">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3">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3">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3">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3">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3">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3">
      <c r="A402">
        <v>25792</v>
      </c>
      <c r="B402" t="s">
        <v>37</v>
      </c>
      <c r="C402" t="s">
        <v>39</v>
      </c>
      <c r="D402" s="3">
        <v>110000</v>
      </c>
      <c r="E402">
        <v>3</v>
      </c>
      <c r="F402" t="s">
        <v>13</v>
      </c>
      <c r="G402" t="s">
        <v>28</v>
      </c>
      <c r="H402" t="s">
        <v>15</v>
      </c>
      <c r="I402">
        <v>4</v>
      </c>
      <c r="J402" t="s">
        <v>46</v>
      </c>
      <c r="K402" t="s">
        <v>17</v>
      </c>
      <c r="L402" t="str">
        <f t="shared" si="6"/>
        <v>Middle Age</v>
      </c>
      <c r="M402">
        <v>53</v>
      </c>
      <c r="N402" t="s">
        <v>18</v>
      </c>
    </row>
    <row r="403" spans="1:14" x14ac:dyDescent="0.3">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3">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3">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3">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3">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3">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3">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3">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3">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3">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3">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3">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3">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3">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3">
      <c r="A422">
        <v>18153</v>
      </c>
      <c r="B422" t="s">
        <v>36</v>
      </c>
      <c r="C422" t="s">
        <v>39</v>
      </c>
      <c r="D422" s="3">
        <v>100000</v>
      </c>
      <c r="E422">
        <v>2</v>
      </c>
      <c r="F422" t="s">
        <v>13</v>
      </c>
      <c r="G422" t="s">
        <v>28</v>
      </c>
      <c r="H422" t="s">
        <v>15</v>
      </c>
      <c r="I422">
        <v>4</v>
      </c>
      <c r="J422" t="s">
        <v>46</v>
      </c>
      <c r="K422" t="s">
        <v>17</v>
      </c>
      <c r="L422" t="str">
        <f t="shared" si="6"/>
        <v>Old</v>
      </c>
      <c r="M422">
        <v>59</v>
      </c>
      <c r="N422" t="s">
        <v>18</v>
      </c>
    </row>
    <row r="423" spans="1:14" x14ac:dyDescent="0.3">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3">
      <c r="A424">
        <v>24901</v>
      </c>
      <c r="B424" t="s">
        <v>37</v>
      </c>
      <c r="C424" t="s">
        <v>38</v>
      </c>
      <c r="D424" s="3">
        <v>110000</v>
      </c>
      <c r="E424">
        <v>0</v>
      </c>
      <c r="F424" t="s">
        <v>19</v>
      </c>
      <c r="G424" t="s">
        <v>28</v>
      </c>
      <c r="H424" t="s">
        <v>18</v>
      </c>
      <c r="I424">
        <v>3</v>
      </c>
      <c r="J424" t="s">
        <v>46</v>
      </c>
      <c r="K424" t="s">
        <v>24</v>
      </c>
      <c r="L424" t="str">
        <f t="shared" si="6"/>
        <v>Middle Age</v>
      </c>
      <c r="M424">
        <v>32</v>
      </c>
      <c r="N424" t="s">
        <v>15</v>
      </c>
    </row>
    <row r="425" spans="1:14" x14ac:dyDescent="0.3">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3">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3">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3">
      <c r="A428">
        <v>19389</v>
      </c>
      <c r="B428" t="s">
        <v>37</v>
      </c>
      <c r="C428" t="s">
        <v>38</v>
      </c>
      <c r="D428" s="3">
        <v>30000</v>
      </c>
      <c r="E428">
        <v>0</v>
      </c>
      <c r="F428" t="s">
        <v>19</v>
      </c>
      <c r="G428" t="s">
        <v>20</v>
      </c>
      <c r="H428" t="s">
        <v>18</v>
      </c>
      <c r="I428">
        <v>1</v>
      </c>
      <c r="J428" t="s">
        <v>22</v>
      </c>
      <c r="K428" t="s">
        <v>17</v>
      </c>
      <c r="L428" t="str">
        <f t="shared" si="6"/>
        <v>Adolescent</v>
      </c>
      <c r="M428">
        <v>28</v>
      </c>
      <c r="N428" t="s">
        <v>18</v>
      </c>
    </row>
    <row r="429" spans="1:14" x14ac:dyDescent="0.3">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3">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3">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3">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3">
      <c r="A433">
        <v>28488</v>
      </c>
      <c r="B433" t="s">
        <v>37</v>
      </c>
      <c r="C433" t="s">
        <v>38</v>
      </c>
      <c r="D433" s="3">
        <v>20000</v>
      </c>
      <c r="E433">
        <v>0</v>
      </c>
      <c r="F433" t="s">
        <v>19</v>
      </c>
      <c r="G433" t="s">
        <v>25</v>
      </c>
      <c r="H433" t="s">
        <v>15</v>
      </c>
      <c r="I433">
        <v>0</v>
      </c>
      <c r="J433" t="s">
        <v>16</v>
      </c>
      <c r="K433" t="s">
        <v>24</v>
      </c>
      <c r="L433" t="str">
        <f t="shared" si="6"/>
        <v>Adolescent</v>
      </c>
      <c r="M433">
        <v>28</v>
      </c>
      <c r="N433" t="s">
        <v>15</v>
      </c>
    </row>
    <row r="434" spans="1:14" x14ac:dyDescent="0.3">
      <c r="A434">
        <v>21891</v>
      </c>
      <c r="B434" t="s">
        <v>36</v>
      </c>
      <c r="C434" t="s">
        <v>39</v>
      </c>
      <c r="D434" s="3">
        <v>110000</v>
      </c>
      <c r="E434">
        <v>0</v>
      </c>
      <c r="F434" t="s">
        <v>27</v>
      </c>
      <c r="G434" t="s">
        <v>28</v>
      </c>
      <c r="H434" t="s">
        <v>15</v>
      </c>
      <c r="I434">
        <v>3</v>
      </c>
      <c r="J434" t="s">
        <v>46</v>
      </c>
      <c r="K434" t="s">
        <v>24</v>
      </c>
      <c r="L434" t="str">
        <f t="shared" si="6"/>
        <v>Middle Age</v>
      </c>
      <c r="M434">
        <v>34</v>
      </c>
      <c r="N434" t="s">
        <v>15</v>
      </c>
    </row>
    <row r="435" spans="1:14" x14ac:dyDescent="0.3">
      <c r="A435">
        <v>27814</v>
      </c>
      <c r="B435" t="s">
        <v>37</v>
      </c>
      <c r="C435" t="s">
        <v>39</v>
      </c>
      <c r="D435" s="3">
        <v>30000</v>
      </c>
      <c r="E435">
        <v>3</v>
      </c>
      <c r="F435" t="s">
        <v>19</v>
      </c>
      <c r="G435" t="s">
        <v>20</v>
      </c>
      <c r="H435" t="s">
        <v>18</v>
      </c>
      <c r="I435">
        <v>1</v>
      </c>
      <c r="J435" t="s">
        <v>16</v>
      </c>
      <c r="K435" t="s">
        <v>17</v>
      </c>
      <c r="L435" t="str">
        <f t="shared" si="6"/>
        <v>Adolescent</v>
      </c>
      <c r="M435">
        <v>26</v>
      </c>
      <c r="N435" t="s">
        <v>18</v>
      </c>
    </row>
    <row r="436" spans="1:14" x14ac:dyDescent="0.3">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3">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3">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
      <c r="A439">
        <v>27824</v>
      </c>
      <c r="B439" t="s">
        <v>37</v>
      </c>
      <c r="C439" t="s">
        <v>39</v>
      </c>
      <c r="D439" s="3">
        <v>30000</v>
      </c>
      <c r="E439">
        <v>3</v>
      </c>
      <c r="F439" t="s">
        <v>19</v>
      </c>
      <c r="G439" t="s">
        <v>20</v>
      </c>
      <c r="H439" t="s">
        <v>15</v>
      </c>
      <c r="I439">
        <v>2</v>
      </c>
      <c r="J439" t="s">
        <v>16</v>
      </c>
      <c r="K439" t="s">
        <v>17</v>
      </c>
      <c r="L439" t="str">
        <f t="shared" si="6"/>
        <v>Adolescent</v>
      </c>
      <c r="M439">
        <v>28</v>
      </c>
      <c r="N439" t="s">
        <v>15</v>
      </c>
    </row>
    <row r="440" spans="1:14" x14ac:dyDescent="0.3">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3">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3">
      <c r="A442">
        <v>21561</v>
      </c>
      <c r="B442" t="s">
        <v>37</v>
      </c>
      <c r="C442" t="s">
        <v>38</v>
      </c>
      <c r="D442" s="3">
        <v>90000</v>
      </c>
      <c r="E442">
        <v>0</v>
      </c>
      <c r="F442" t="s">
        <v>13</v>
      </c>
      <c r="G442" t="s">
        <v>21</v>
      </c>
      <c r="H442" t="s">
        <v>18</v>
      </c>
      <c r="I442">
        <v>3</v>
      </c>
      <c r="J442" t="s">
        <v>46</v>
      </c>
      <c r="K442" t="s">
        <v>24</v>
      </c>
      <c r="L442" t="str">
        <f t="shared" si="6"/>
        <v>Middle Age</v>
      </c>
      <c r="M442">
        <v>34</v>
      </c>
      <c r="N442" t="s">
        <v>15</v>
      </c>
    </row>
    <row r="443" spans="1:14" x14ac:dyDescent="0.3">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3">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3">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3">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
      <c r="A448">
        <v>14278</v>
      </c>
      <c r="B448" t="s">
        <v>36</v>
      </c>
      <c r="C448" t="s">
        <v>39</v>
      </c>
      <c r="D448" s="3">
        <v>130000</v>
      </c>
      <c r="E448">
        <v>0</v>
      </c>
      <c r="F448" t="s">
        <v>31</v>
      </c>
      <c r="G448" t="s">
        <v>28</v>
      </c>
      <c r="H448" t="s">
        <v>15</v>
      </c>
      <c r="I448">
        <v>1</v>
      </c>
      <c r="J448" t="s">
        <v>46</v>
      </c>
      <c r="K448" t="s">
        <v>24</v>
      </c>
      <c r="L448" t="str">
        <f t="shared" si="6"/>
        <v>Middle Age</v>
      </c>
      <c r="M448">
        <v>48</v>
      </c>
      <c r="N448" t="s">
        <v>18</v>
      </c>
    </row>
    <row r="449" spans="1:14" x14ac:dyDescent="0.3">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
      <c r="A451">
        <v>12497</v>
      </c>
      <c r="B451" t="s">
        <v>36</v>
      </c>
      <c r="C451" t="s">
        <v>39</v>
      </c>
      <c r="D451" s="3">
        <v>40000</v>
      </c>
      <c r="E451">
        <v>1</v>
      </c>
      <c r="F451" t="s">
        <v>13</v>
      </c>
      <c r="G451" t="s">
        <v>14</v>
      </c>
      <c r="H451" t="s">
        <v>15</v>
      </c>
      <c r="I451">
        <v>0</v>
      </c>
      <c r="J451" t="s">
        <v>16</v>
      </c>
      <c r="K451" t="s">
        <v>17</v>
      </c>
      <c r="L451" t="str">
        <f t="shared" ref="L451:L514" si="7">IF(M451&gt;54,"Old",IF(M451&gt;=31,"Middle Age", IF(M451 &lt;31,"Adolescent","invalid")))</f>
        <v>Middle Age</v>
      </c>
      <c r="M451">
        <v>42</v>
      </c>
      <c r="N451" t="s">
        <v>18</v>
      </c>
    </row>
    <row r="452" spans="1:14" x14ac:dyDescent="0.3">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3">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3">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3">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3">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3">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3">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3">
      <c r="A460">
        <v>21560</v>
      </c>
      <c r="B460" t="s">
        <v>36</v>
      </c>
      <c r="C460" t="s">
        <v>38</v>
      </c>
      <c r="D460" s="3">
        <v>120000</v>
      </c>
      <c r="E460">
        <v>0</v>
      </c>
      <c r="F460" t="s">
        <v>29</v>
      </c>
      <c r="G460" t="s">
        <v>21</v>
      </c>
      <c r="H460" t="s">
        <v>15</v>
      </c>
      <c r="I460">
        <v>4</v>
      </c>
      <c r="J460" t="s">
        <v>46</v>
      </c>
      <c r="K460" t="s">
        <v>24</v>
      </c>
      <c r="L460" t="str">
        <f t="shared" si="7"/>
        <v>Middle Age</v>
      </c>
      <c r="M460">
        <v>32</v>
      </c>
      <c r="N460" t="s">
        <v>15</v>
      </c>
    </row>
    <row r="461" spans="1:14" x14ac:dyDescent="0.3">
      <c r="A461">
        <v>21554</v>
      </c>
      <c r="B461" t="s">
        <v>37</v>
      </c>
      <c r="C461" t="s">
        <v>39</v>
      </c>
      <c r="D461" s="3">
        <v>80000</v>
      </c>
      <c r="E461">
        <v>0</v>
      </c>
      <c r="F461" t="s">
        <v>13</v>
      </c>
      <c r="G461" t="s">
        <v>21</v>
      </c>
      <c r="H461" t="s">
        <v>18</v>
      </c>
      <c r="I461">
        <v>3</v>
      </c>
      <c r="J461" t="s">
        <v>46</v>
      </c>
      <c r="K461" t="s">
        <v>24</v>
      </c>
      <c r="L461" t="str">
        <f t="shared" si="7"/>
        <v>Middle Age</v>
      </c>
      <c r="M461">
        <v>33</v>
      </c>
      <c r="N461" t="s">
        <v>18</v>
      </c>
    </row>
    <row r="462" spans="1:14" x14ac:dyDescent="0.3">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3">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3">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3">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3">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3">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3">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
      <c r="A472">
        <v>15612</v>
      </c>
      <c r="B472" t="s">
        <v>37</v>
      </c>
      <c r="C472" t="s">
        <v>38</v>
      </c>
      <c r="D472" s="3">
        <v>30000</v>
      </c>
      <c r="E472">
        <v>0</v>
      </c>
      <c r="F472" t="s">
        <v>27</v>
      </c>
      <c r="G472" t="s">
        <v>25</v>
      </c>
      <c r="H472" t="s">
        <v>18</v>
      </c>
      <c r="I472">
        <v>1</v>
      </c>
      <c r="J472" t="s">
        <v>26</v>
      </c>
      <c r="K472" t="s">
        <v>17</v>
      </c>
      <c r="L472" t="str">
        <f t="shared" si="7"/>
        <v>Adolescent</v>
      </c>
      <c r="M472">
        <v>28</v>
      </c>
      <c r="N472" t="s">
        <v>18</v>
      </c>
    </row>
    <row r="473" spans="1:14" x14ac:dyDescent="0.3">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3">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3">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3">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3">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3">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3">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3">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3">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3">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3">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3">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3">
      <c r="A488">
        <v>26415</v>
      </c>
      <c r="B488" t="s">
        <v>36</v>
      </c>
      <c r="C488" t="s">
        <v>39</v>
      </c>
      <c r="D488" s="3">
        <v>90000</v>
      </c>
      <c r="E488">
        <v>4</v>
      </c>
      <c r="F488" t="s">
        <v>29</v>
      </c>
      <c r="G488" t="s">
        <v>14</v>
      </c>
      <c r="H488" t="s">
        <v>15</v>
      </c>
      <c r="I488">
        <v>4</v>
      </c>
      <c r="J488" t="s">
        <v>46</v>
      </c>
      <c r="K488" t="s">
        <v>17</v>
      </c>
      <c r="L488" t="str">
        <f t="shared" si="7"/>
        <v>Old</v>
      </c>
      <c r="M488">
        <v>58</v>
      </c>
      <c r="N488" t="s">
        <v>18</v>
      </c>
    </row>
    <row r="489" spans="1:14" x14ac:dyDescent="0.3">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3">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3">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3">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3">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3">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3">
      <c r="A495">
        <v>23707</v>
      </c>
      <c r="B495" t="s">
        <v>37</v>
      </c>
      <c r="C495" t="s">
        <v>38</v>
      </c>
      <c r="D495" s="3">
        <v>70000</v>
      </c>
      <c r="E495">
        <v>5</v>
      </c>
      <c r="F495" t="s">
        <v>13</v>
      </c>
      <c r="G495" t="s">
        <v>28</v>
      </c>
      <c r="H495" t="s">
        <v>15</v>
      </c>
      <c r="I495">
        <v>3</v>
      </c>
      <c r="J495" t="s">
        <v>46</v>
      </c>
      <c r="K495" t="s">
        <v>32</v>
      </c>
      <c r="L495" t="str">
        <f t="shared" si="7"/>
        <v>Old</v>
      </c>
      <c r="M495">
        <v>60</v>
      </c>
      <c r="N495" t="s">
        <v>15</v>
      </c>
    </row>
    <row r="496" spans="1:14" x14ac:dyDescent="0.3">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3">
      <c r="A497">
        <v>24981</v>
      </c>
      <c r="B497" t="s">
        <v>36</v>
      </c>
      <c r="C497" t="s">
        <v>38</v>
      </c>
      <c r="D497" s="3">
        <v>60000</v>
      </c>
      <c r="E497">
        <v>2</v>
      </c>
      <c r="F497" t="s">
        <v>19</v>
      </c>
      <c r="G497" t="s">
        <v>21</v>
      </c>
      <c r="H497" t="s">
        <v>15</v>
      </c>
      <c r="I497">
        <v>2</v>
      </c>
      <c r="J497" t="s">
        <v>46</v>
      </c>
      <c r="K497" t="s">
        <v>32</v>
      </c>
      <c r="L497" t="str">
        <f t="shared" si="7"/>
        <v>Old</v>
      </c>
      <c r="M497">
        <v>56</v>
      </c>
      <c r="N497" t="s">
        <v>18</v>
      </c>
    </row>
    <row r="498" spans="1:14" x14ac:dyDescent="0.3">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3">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3">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3">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3">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3">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
      <c r="A504">
        <v>15275</v>
      </c>
      <c r="B504" t="s">
        <v>36</v>
      </c>
      <c r="C504" t="s">
        <v>38</v>
      </c>
      <c r="D504" s="3">
        <v>40000</v>
      </c>
      <c r="E504">
        <v>0</v>
      </c>
      <c r="F504" t="s">
        <v>19</v>
      </c>
      <c r="G504" t="s">
        <v>14</v>
      </c>
      <c r="H504" t="s">
        <v>15</v>
      </c>
      <c r="I504">
        <v>1</v>
      </c>
      <c r="J504" t="s">
        <v>23</v>
      </c>
      <c r="K504" t="s">
        <v>32</v>
      </c>
      <c r="L504" t="str">
        <f t="shared" si="7"/>
        <v>Adolescent</v>
      </c>
      <c r="M504">
        <v>29</v>
      </c>
      <c r="N504" t="s">
        <v>18</v>
      </c>
    </row>
    <row r="505" spans="1:14" x14ac:dyDescent="0.3">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3">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3">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3">
      <c r="A510">
        <v>16337</v>
      </c>
      <c r="B510" t="s">
        <v>36</v>
      </c>
      <c r="C510" t="s">
        <v>38</v>
      </c>
      <c r="D510" s="3">
        <v>60000</v>
      </c>
      <c r="E510">
        <v>0</v>
      </c>
      <c r="F510" t="s">
        <v>19</v>
      </c>
      <c r="G510" t="s">
        <v>14</v>
      </c>
      <c r="H510" t="s">
        <v>18</v>
      </c>
      <c r="I510">
        <v>2</v>
      </c>
      <c r="J510" t="s">
        <v>26</v>
      </c>
      <c r="K510" t="s">
        <v>32</v>
      </c>
      <c r="L510" t="str">
        <f t="shared" si="7"/>
        <v>Adolescent</v>
      </c>
      <c r="M510">
        <v>29</v>
      </c>
      <c r="N510" t="s">
        <v>18</v>
      </c>
    </row>
    <row r="511" spans="1:14" x14ac:dyDescent="0.3">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3">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3">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3">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3">
      <c r="A515">
        <v>13353</v>
      </c>
      <c r="B515" t="s">
        <v>37</v>
      </c>
      <c r="C515" t="s">
        <v>39</v>
      </c>
      <c r="D515" s="3">
        <v>60000</v>
      </c>
      <c r="E515">
        <v>4</v>
      </c>
      <c r="F515" t="s">
        <v>31</v>
      </c>
      <c r="G515" t="s">
        <v>28</v>
      </c>
      <c r="H515" t="s">
        <v>15</v>
      </c>
      <c r="I515">
        <v>2</v>
      </c>
      <c r="J515" t="s">
        <v>46</v>
      </c>
      <c r="K515" t="s">
        <v>32</v>
      </c>
      <c r="L515" t="str">
        <f t="shared" ref="L515:L578" si="8">IF(M515&gt;54,"Old",IF(M515&gt;=31,"Middle Age", IF(M515 &lt;31,"Adolescent","invalid")))</f>
        <v>Old</v>
      </c>
      <c r="M515">
        <v>61</v>
      </c>
      <c r="N515" t="s">
        <v>15</v>
      </c>
    </row>
    <row r="516" spans="1:14" x14ac:dyDescent="0.3">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3">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3">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3">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3">
      <c r="A523">
        <v>18976</v>
      </c>
      <c r="B523" t="s">
        <v>37</v>
      </c>
      <c r="C523" t="s">
        <v>38</v>
      </c>
      <c r="D523" s="3">
        <v>40000</v>
      </c>
      <c r="E523">
        <v>4</v>
      </c>
      <c r="F523" t="s">
        <v>27</v>
      </c>
      <c r="G523" t="s">
        <v>21</v>
      </c>
      <c r="H523" t="s">
        <v>15</v>
      </c>
      <c r="I523">
        <v>2</v>
      </c>
      <c r="J523" t="s">
        <v>46</v>
      </c>
      <c r="K523" t="s">
        <v>32</v>
      </c>
      <c r="L523" t="str">
        <f t="shared" si="8"/>
        <v>Old</v>
      </c>
      <c r="M523">
        <v>62</v>
      </c>
      <c r="N523" t="s">
        <v>15</v>
      </c>
    </row>
    <row r="524" spans="1:14" x14ac:dyDescent="0.3">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3">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3">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3">
      <c r="A527">
        <v>16791</v>
      </c>
      <c r="B527" t="s">
        <v>37</v>
      </c>
      <c r="C527" t="s">
        <v>38</v>
      </c>
      <c r="D527" s="3">
        <v>60000</v>
      </c>
      <c r="E527">
        <v>5</v>
      </c>
      <c r="F527" t="s">
        <v>13</v>
      </c>
      <c r="G527" t="s">
        <v>28</v>
      </c>
      <c r="H527" t="s">
        <v>15</v>
      </c>
      <c r="I527">
        <v>3</v>
      </c>
      <c r="J527" t="s">
        <v>46</v>
      </c>
      <c r="K527" t="s">
        <v>32</v>
      </c>
      <c r="L527" t="str">
        <f t="shared" si="8"/>
        <v>Old</v>
      </c>
      <c r="M527">
        <v>59</v>
      </c>
      <c r="N527" t="s">
        <v>15</v>
      </c>
    </row>
    <row r="528" spans="1:14" x14ac:dyDescent="0.3">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3">
      <c r="A530">
        <v>11935</v>
      </c>
      <c r="B530" t="s">
        <v>37</v>
      </c>
      <c r="C530" t="s">
        <v>39</v>
      </c>
      <c r="D530" s="3">
        <v>30000</v>
      </c>
      <c r="E530">
        <v>0</v>
      </c>
      <c r="F530" t="s">
        <v>19</v>
      </c>
      <c r="G530" t="s">
        <v>14</v>
      </c>
      <c r="H530" t="s">
        <v>15</v>
      </c>
      <c r="I530">
        <v>1</v>
      </c>
      <c r="J530" t="s">
        <v>23</v>
      </c>
      <c r="K530" t="s">
        <v>32</v>
      </c>
      <c r="L530" t="str">
        <f t="shared" si="8"/>
        <v>Adolescent</v>
      </c>
      <c r="M530">
        <v>28</v>
      </c>
      <c r="N530" t="s">
        <v>18</v>
      </c>
    </row>
    <row r="531" spans="1:14" x14ac:dyDescent="0.3">
      <c r="A531">
        <v>13233</v>
      </c>
      <c r="B531" t="s">
        <v>36</v>
      </c>
      <c r="C531" t="s">
        <v>38</v>
      </c>
      <c r="D531" s="3">
        <v>60000</v>
      </c>
      <c r="E531">
        <v>2</v>
      </c>
      <c r="F531" t="s">
        <v>19</v>
      </c>
      <c r="G531" t="s">
        <v>21</v>
      </c>
      <c r="H531" t="s">
        <v>15</v>
      </c>
      <c r="I531">
        <v>1</v>
      </c>
      <c r="J531" t="s">
        <v>46</v>
      </c>
      <c r="K531" t="s">
        <v>32</v>
      </c>
      <c r="L531" t="str">
        <f t="shared" si="8"/>
        <v>Old</v>
      </c>
      <c r="M531">
        <v>57</v>
      </c>
      <c r="N531" t="s">
        <v>15</v>
      </c>
    </row>
    <row r="532" spans="1:14" x14ac:dyDescent="0.3">
      <c r="A532">
        <v>25909</v>
      </c>
      <c r="B532" t="s">
        <v>36</v>
      </c>
      <c r="C532" t="s">
        <v>38</v>
      </c>
      <c r="D532" s="3">
        <v>60000</v>
      </c>
      <c r="E532">
        <v>0</v>
      </c>
      <c r="F532" t="s">
        <v>19</v>
      </c>
      <c r="G532" t="s">
        <v>14</v>
      </c>
      <c r="H532" t="s">
        <v>15</v>
      </c>
      <c r="I532">
        <v>1</v>
      </c>
      <c r="J532" t="s">
        <v>23</v>
      </c>
      <c r="K532" t="s">
        <v>32</v>
      </c>
      <c r="L532" t="str">
        <f t="shared" si="8"/>
        <v>Adolescent</v>
      </c>
      <c r="M532">
        <v>27</v>
      </c>
      <c r="N532" t="s">
        <v>15</v>
      </c>
    </row>
    <row r="533" spans="1:14" x14ac:dyDescent="0.3">
      <c r="A533">
        <v>14092</v>
      </c>
      <c r="B533" t="s">
        <v>37</v>
      </c>
      <c r="C533" t="s">
        <v>38</v>
      </c>
      <c r="D533" s="3">
        <v>30000</v>
      </c>
      <c r="E533">
        <v>0</v>
      </c>
      <c r="F533" t="s">
        <v>29</v>
      </c>
      <c r="G533" t="s">
        <v>20</v>
      </c>
      <c r="H533" t="s">
        <v>15</v>
      </c>
      <c r="I533">
        <v>2</v>
      </c>
      <c r="J533" t="s">
        <v>23</v>
      </c>
      <c r="K533" t="s">
        <v>32</v>
      </c>
      <c r="L533" t="str">
        <f t="shared" si="8"/>
        <v>Adolescent</v>
      </c>
      <c r="M533">
        <v>28</v>
      </c>
      <c r="N533" t="s">
        <v>18</v>
      </c>
    </row>
    <row r="534" spans="1:14" x14ac:dyDescent="0.3">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3">
      <c r="A535">
        <v>24941</v>
      </c>
      <c r="B535" t="s">
        <v>36</v>
      </c>
      <c r="C535" t="s">
        <v>38</v>
      </c>
      <c r="D535" s="3">
        <v>60000</v>
      </c>
      <c r="E535">
        <v>3</v>
      </c>
      <c r="F535" t="s">
        <v>13</v>
      </c>
      <c r="G535" t="s">
        <v>28</v>
      </c>
      <c r="H535" t="s">
        <v>15</v>
      </c>
      <c r="I535">
        <v>2</v>
      </c>
      <c r="J535" t="s">
        <v>46</v>
      </c>
      <c r="K535" t="s">
        <v>32</v>
      </c>
      <c r="L535" t="str">
        <f t="shared" si="8"/>
        <v>Old</v>
      </c>
      <c r="M535">
        <v>66</v>
      </c>
      <c r="N535" t="s">
        <v>18</v>
      </c>
    </row>
    <row r="536" spans="1:14" x14ac:dyDescent="0.3">
      <c r="A536">
        <v>24637</v>
      </c>
      <c r="B536" t="s">
        <v>36</v>
      </c>
      <c r="C536" t="s">
        <v>38</v>
      </c>
      <c r="D536" s="3">
        <v>40000</v>
      </c>
      <c r="E536">
        <v>4</v>
      </c>
      <c r="F536" t="s">
        <v>27</v>
      </c>
      <c r="G536" t="s">
        <v>21</v>
      </c>
      <c r="H536" t="s">
        <v>15</v>
      </c>
      <c r="I536">
        <v>2</v>
      </c>
      <c r="J536" t="s">
        <v>46</v>
      </c>
      <c r="K536" t="s">
        <v>32</v>
      </c>
      <c r="L536" t="str">
        <f t="shared" si="8"/>
        <v>Old</v>
      </c>
      <c r="M536">
        <v>64</v>
      </c>
      <c r="N536" t="s">
        <v>18</v>
      </c>
    </row>
    <row r="537" spans="1:14" x14ac:dyDescent="0.3">
      <c r="A537">
        <v>23893</v>
      </c>
      <c r="B537" t="s">
        <v>36</v>
      </c>
      <c r="C537" t="s">
        <v>38</v>
      </c>
      <c r="D537" s="3">
        <v>50000</v>
      </c>
      <c r="E537">
        <v>3</v>
      </c>
      <c r="F537" t="s">
        <v>13</v>
      </c>
      <c r="G537" t="s">
        <v>14</v>
      </c>
      <c r="H537" t="s">
        <v>15</v>
      </c>
      <c r="I537">
        <v>3</v>
      </c>
      <c r="J537" t="s">
        <v>46</v>
      </c>
      <c r="K537" t="s">
        <v>32</v>
      </c>
      <c r="L537" t="str">
        <f t="shared" si="8"/>
        <v>Middle Age</v>
      </c>
      <c r="M537">
        <v>41</v>
      </c>
      <c r="N537" t="s">
        <v>18</v>
      </c>
    </row>
    <row r="538" spans="1:14" x14ac:dyDescent="0.3">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3">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3">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3">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3">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3">
      <c r="A544">
        <v>11143</v>
      </c>
      <c r="B544" t="s">
        <v>36</v>
      </c>
      <c r="C544" t="s">
        <v>38</v>
      </c>
      <c r="D544" s="3">
        <v>40000</v>
      </c>
      <c r="E544">
        <v>0</v>
      </c>
      <c r="F544" t="s">
        <v>27</v>
      </c>
      <c r="G544" t="s">
        <v>14</v>
      </c>
      <c r="H544" t="s">
        <v>15</v>
      </c>
      <c r="I544">
        <v>2</v>
      </c>
      <c r="J544" t="s">
        <v>23</v>
      </c>
      <c r="K544" t="s">
        <v>32</v>
      </c>
      <c r="L544" t="str">
        <f t="shared" si="8"/>
        <v>Adolescent</v>
      </c>
      <c r="M544">
        <v>29</v>
      </c>
      <c r="N544" t="s">
        <v>18</v>
      </c>
    </row>
    <row r="545" spans="1:14" x14ac:dyDescent="0.3">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3">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3">
      <c r="A547">
        <v>19758</v>
      </c>
      <c r="B547" t="s">
        <v>37</v>
      </c>
      <c r="C547" t="s">
        <v>38</v>
      </c>
      <c r="D547" s="3">
        <v>60000</v>
      </c>
      <c r="E547">
        <v>0</v>
      </c>
      <c r="F547" t="s">
        <v>19</v>
      </c>
      <c r="G547" t="s">
        <v>14</v>
      </c>
      <c r="H547" t="s">
        <v>18</v>
      </c>
      <c r="I547">
        <v>2</v>
      </c>
      <c r="J547" t="s">
        <v>26</v>
      </c>
      <c r="K547" t="s">
        <v>32</v>
      </c>
      <c r="L547" t="str">
        <f t="shared" si="8"/>
        <v>Adolescent</v>
      </c>
      <c r="M547">
        <v>29</v>
      </c>
      <c r="N547" t="s">
        <v>18</v>
      </c>
    </row>
    <row r="548" spans="1:14" x14ac:dyDescent="0.3">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3">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3">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3">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3">
      <c r="A553">
        <v>27393</v>
      </c>
      <c r="B553" t="s">
        <v>36</v>
      </c>
      <c r="C553" t="s">
        <v>39</v>
      </c>
      <c r="D553" s="3">
        <v>50000</v>
      </c>
      <c r="E553">
        <v>4</v>
      </c>
      <c r="F553" t="s">
        <v>13</v>
      </c>
      <c r="G553" t="s">
        <v>28</v>
      </c>
      <c r="H553" t="s">
        <v>15</v>
      </c>
      <c r="I553">
        <v>2</v>
      </c>
      <c r="J553" t="s">
        <v>46</v>
      </c>
      <c r="K553" t="s">
        <v>32</v>
      </c>
      <c r="L553" t="str">
        <f t="shared" si="8"/>
        <v>Old</v>
      </c>
      <c r="M553">
        <v>63</v>
      </c>
      <c r="N553" t="s">
        <v>18</v>
      </c>
    </row>
    <row r="554" spans="1:14" x14ac:dyDescent="0.3">
      <c r="A554">
        <v>14417</v>
      </c>
      <c r="B554" t="s">
        <v>37</v>
      </c>
      <c r="C554" t="s">
        <v>38</v>
      </c>
      <c r="D554" s="3">
        <v>60000</v>
      </c>
      <c r="E554">
        <v>3</v>
      </c>
      <c r="F554" t="s">
        <v>27</v>
      </c>
      <c r="G554" t="s">
        <v>21</v>
      </c>
      <c r="H554" t="s">
        <v>15</v>
      </c>
      <c r="I554">
        <v>2</v>
      </c>
      <c r="J554" t="s">
        <v>46</v>
      </c>
      <c r="K554" t="s">
        <v>32</v>
      </c>
      <c r="L554" t="str">
        <f t="shared" si="8"/>
        <v>Middle Age</v>
      </c>
      <c r="M554">
        <v>54</v>
      </c>
      <c r="N554" t="s">
        <v>15</v>
      </c>
    </row>
    <row r="555" spans="1:14" x14ac:dyDescent="0.3">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3">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3">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3">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3">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
      <c r="A561">
        <v>15895</v>
      </c>
      <c r="B561" t="s">
        <v>37</v>
      </c>
      <c r="C561" t="s">
        <v>39</v>
      </c>
      <c r="D561" s="3">
        <v>60000</v>
      </c>
      <c r="E561">
        <v>2</v>
      </c>
      <c r="F561" t="s">
        <v>13</v>
      </c>
      <c r="G561" t="s">
        <v>28</v>
      </c>
      <c r="H561" t="s">
        <v>15</v>
      </c>
      <c r="I561">
        <v>0</v>
      </c>
      <c r="J561" t="s">
        <v>46</v>
      </c>
      <c r="K561" t="s">
        <v>32</v>
      </c>
      <c r="L561" t="str">
        <f t="shared" si="8"/>
        <v>Old</v>
      </c>
      <c r="M561">
        <v>58</v>
      </c>
      <c r="N561" t="s">
        <v>18</v>
      </c>
    </row>
    <row r="562" spans="1:14" x14ac:dyDescent="0.3">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3">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
      <c r="A565">
        <v>25006</v>
      </c>
      <c r="B565" t="s">
        <v>37</v>
      </c>
      <c r="C565" t="s">
        <v>39</v>
      </c>
      <c r="D565" s="3">
        <v>30000</v>
      </c>
      <c r="E565">
        <v>0</v>
      </c>
      <c r="F565" t="s">
        <v>19</v>
      </c>
      <c r="G565" t="s">
        <v>14</v>
      </c>
      <c r="H565" t="s">
        <v>15</v>
      </c>
      <c r="I565">
        <v>1</v>
      </c>
      <c r="J565" t="s">
        <v>23</v>
      </c>
      <c r="K565" t="s">
        <v>32</v>
      </c>
      <c r="L565" t="str">
        <f t="shared" si="8"/>
        <v>Adolescent</v>
      </c>
      <c r="M565">
        <v>28</v>
      </c>
      <c r="N565" t="s">
        <v>18</v>
      </c>
    </row>
    <row r="566" spans="1:14" x14ac:dyDescent="0.3">
      <c r="A566">
        <v>17369</v>
      </c>
      <c r="B566" t="s">
        <v>37</v>
      </c>
      <c r="C566" t="s">
        <v>38</v>
      </c>
      <c r="D566" s="3">
        <v>30000</v>
      </c>
      <c r="E566">
        <v>0</v>
      </c>
      <c r="F566" t="s">
        <v>19</v>
      </c>
      <c r="G566" t="s">
        <v>14</v>
      </c>
      <c r="H566" t="s">
        <v>15</v>
      </c>
      <c r="I566">
        <v>1</v>
      </c>
      <c r="J566" t="s">
        <v>23</v>
      </c>
      <c r="K566" t="s">
        <v>32</v>
      </c>
      <c r="L566" t="str">
        <f t="shared" si="8"/>
        <v>Adolescent</v>
      </c>
      <c r="M566">
        <v>27</v>
      </c>
      <c r="N566" t="s">
        <v>18</v>
      </c>
    </row>
    <row r="567" spans="1:14" x14ac:dyDescent="0.3">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3">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3">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3">
      <c r="A571">
        <v>26452</v>
      </c>
      <c r="B571" t="s">
        <v>37</v>
      </c>
      <c r="C571" t="s">
        <v>38</v>
      </c>
      <c r="D571" s="3">
        <v>50000</v>
      </c>
      <c r="E571">
        <v>3</v>
      </c>
      <c r="F571" t="s">
        <v>31</v>
      </c>
      <c r="G571" t="s">
        <v>28</v>
      </c>
      <c r="H571" t="s">
        <v>15</v>
      </c>
      <c r="I571">
        <v>2</v>
      </c>
      <c r="J571" t="s">
        <v>46</v>
      </c>
      <c r="K571" t="s">
        <v>32</v>
      </c>
      <c r="L571" t="str">
        <f t="shared" si="8"/>
        <v>Old</v>
      </c>
      <c r="M571">
        <v>69</v>
      </c>
      <c r="N571" t="s">
        <v>18</v>
      </c>
    </row>
    <row r="572" spans="1:14" x14ac:dyDescent="0.3">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3">
      <c r="A573">
        <v>20528</v>
      </c>
      <c r="B573" t="s">
        <v>36</v>
      </c>
      <c r="C573" t="s">
        <v>38</v>
      </c>
      <c r="D573" s="3">
        <v>40000</v>
      </c>
      <c r="E573">
        <v>2</v>
      </c>
      <c r="F573" t="s">
        <v>29</v>
      </c>
      <c r="G573" t="s">
        <v>14</v>
      </c>
      <c r="H573" t="s">
        <v>15</v>
      </c>
      <c r="I573">
        <v>2</v>
      </c>
      <c r="J573" t="s">
        <v>22</v>
      </c>
      <c r="K573" t="s">
        <v>32</v>
      </c>
      <c r="L573" t="str">
        <f t="shared" si="8"/>
        <v>Old</v>
      </c>
      <c r="M573">
        <v>55</v>
      </c>
      <c r="N573" t="s">
        <v>18</v>
      </c>
    </row>
    <row r="574" spans="1:14" x14ac:dyDescent="0.3">
      <c r="A574">
        <v>23549</v>
      </c>
      <c r="B574" t="s">
        <v>37</v>
      </c>
      <c r="C574" t="s">
        <v>38</v>
      </c>
      <c r="D574" s="3">
        <v>30000</v>
      </c>
      <c r="E574">
        <v>0</v>
      </c>
      <c r="F574" t="s">
        <v>27</v>
      </c>
      <c r="G574" t="s">
        <v>14</v>
      </c>
      <c r="H574" t="s">
        <v>15</v>
      </c>
      <c r="I574">
        <v>2</v>
      </c>
      <c r="J574" t="s">
        <v>23</v>
      </c>
      <c r="K574" t="s">
        <v>32</v>
      </c>
      <c r="L574" t="str">
        <f t="shared" si="8"/>
        <v>Adolescent</v>
      </c>
      <c r="M574">
        <v>30</v>
      </c>
      <c r="N574" t="s">
        <v>18</v>
      </c>
    </row>
    <row r="575" spans="1:14" x14ac:dyDescent="0.3">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3">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3">
      <c r="A577">
        <v>13388</v>
      </c>
      <c r="B577" t="s">
        <v>37</v>
      </c>
      <c r="C577" t="s">
        <v>38</v>
      </c>
      <c r="D577" s="3">
        <v>60000</v>
      </c>
      <c r="E577">
        <v>2</v>
      </c>
      <c r="F577" t="s">
        <v>19</v>
      </c>
      <c r="G577" t="s">
        <v>21</v>
      </c>
      <c r="H577" t="s">
        <v>15</v>
      </c>
      <c r="I577">
        <v>1</v>
      </c>
      <c r="J577" t="s">
        <v>46</v>
      </c>
      <c r="K577" t="s">
        <v>32</v>
      </c>
      <c r="L577" t="str">
        <f t="shared" si="8"/>
        <v>Old</v>
      </c>
      <c r="M577">
        <v>56</v>
      </c>
      <c r="N577" t="s">
        <v>18</v>
      </c>
    </row>
    <row r="578" spans="1:14" x14ac:dyDescent="0.3">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3">
      <c r="A579">
        <v>16917</v>
      </c>
      <c r="B579" t="s">
        <v>36</v>
      </c>
      <c r="C579" t="s">
        <v>38</v>
      </c>
      <c r="D579" s="3">
        <v>120000</v>
      </c>
      <c r="E579">
        <v>1</v>
      </c>
      <c r="F579" t="s">
        <v>13</v>
      </c>
      <c r="G579" t="s">
        <v>28</v>
      </c>
      <c r="H579" t="s">
        <v>15</v>
      </c>
      <c r="I579">
        <v>4</v>
      </c>
      <c r="J579" t="s">
        <v>16</v>
      </c>
      <c r="K579" t="s">
        <v>32</v>
      </c>
      <c r="L579" t="str">
        <f t="shared" ref="L579:L642" si="9">IF(M579&gt;54,"Old",IF(M579&gt;=31,"Middle Age", IF(M579 &lt;31,"Adolescent","invalid")))</f>
        <v>Middle Age</v>
      </c>
      <c r="M579">
        <v>38</v>
      </c>
      <c r="N579" t="s">
        <v>18</v>
      </c>
    </row>
    <row r="580" spans="1:14" x14ac:dyDescent="0.3">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3">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3">
      <c r="A582">
        <v>20380</v>
      </c>
      <c r="B582" t="s">
        <v>36</v>
      </c>
      <c r="C582" t="s">
        <v>39</v>
      </c>
      <c r="D582" s="3">
        <v>60000</v>
      </c>
      <c r="E582">
        <v>3</v>
      </c>
      <c r="F582" t="s">
        <v>31</v>
      </c>
      <c r="G582" t="s">
        <v>28</v>
      </c>
      <c r="H582" t="s">
        <v>15</v>
      </c>
      <c r="I582">
        <v>2</v>
      </c>
      <c r="J582" t="s">
        <v>46</v>
      </c>
      <c r="K582" t="s">
        <v>32</v>
      </c>
      <c r="L582" t="str">
        <f t="shared" si="9"/>
        <v>Old</v>
      </c>
      <c r="M582">
        <v>69</v>
      </c>
      <c r="N582" t="s">
        <v>18</v>
      </c>
    </row>
    <row r="583" spans="1:14" x14ac:dyDescent="0.3">
      <c r="A583">
        <v>23089</v>
      </c>
      <c r="B583" t="s">
        <v>36</v>
      </c>
      <c r="C583" t="s">
        <v>38</v>
      </c>
      <c r="D583" s="3">
        <v>40000</v>
      </c>
      <c r="E583">
        <v>0</v>
      </c>
      <c r="F583" t="s">
        <v>19</v>
      </c>
      <c r="G583" t="s">
        <v>14</v>
      </c>
      <c r="H583" t="s">
        <v>15</v>
      </c>
      <c r="I583">
        <v>1</v>
      </c>
      <c r="J583" t="s">
        <v>23</v>
      </c>
      <c r="K583" t="s">
        <v>32</v>
      </c>
      <c r="L583" t="str">
        <f t="shared" si="9"/>
        <v>Adolescent</v>
      </c>
      <c r="M583">
        <v>28</v>
      </c>
      <c r="N583" t="s">
        <v>18</v>
      </c>
    </row>
    <row r="584" spans="1:14" x14ac:dyDescent="0.3">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3">
      <c r="A585">
        <v>24943</v>
      </c>
      <c r="B585" t="s">
        <v>36</v>
      </c>
      <c r="C585" t="s">
        <v>38</v>
      </c>
      <c r="D585" s="3">
        <v>60000</v>
      </c>
      <c r="E585">
        <v>3</v>
      </c>
      <c r="F585" t="s">
        <v>13</v>
      </c>
      <c r="G585" t="s">
        <v>28</v>
      </c>
      <c r="H585" t="s">
        <v>15</v>
      </c>
      <c r="I585">
        <v>2</v>
      </c>
      <c r="J585" t="s">
        <v>46</v>
      </c>
      <c r="K585" t="s">
        <v>32</v>
      </c>
      <c r="L585" t="str">
        <f t="shared" si="9"/>
        <v>Old</v>
      </c>
      <c r="M585">
        <v>66</v>
      </c>
      <c r="N585" t="s">
        <v>18</v>
      </c>
    </row>
    <row r="586" spans="1:14" x14ac:dyDescent="0.3">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3">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3">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3">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
      <c r="A590">
        <v>16871</v>
      </c>
      <c r="B590" t="s">
        <v>36</v>
      </c>
      <c r="C590" t="s">
        <v>39</v>
      </c>
      <c r="D590" s="3">
        <v>90000</v>
      </c>
      <c r="E590">
        <v>2</v>
      </c>
      <c r="F590" t="s">
        <v>27</v>
      </c>
      <c r="G590" t="s">
        <v>21</v>
      </c>
      <c r="H590" t="s">
        <v>15</v>
      </c>
      <c r="I590">
        <v>1</v>
      </c>
      <c r="J590" t="s">
        <v>46</v>
      </c>
      <c r="K590" t="s">
        <v>32</v>
      </c>
      <c r="L590" t="str">
        <f t="shared" si="9"/>
        <v>Middle Age</v>
      </c>
      <c r="M590">
        <v>51</v>
      </c>
      <c r="N590" t="s">
        <v>15</v>
      </c>
    </row>
    <row r="591" spans="1:14" x14ac:dyDescent="0.3">
      <c r="A591">
        <v>12100</v>
      </c>
      <c r="B591" t="s">
        <v>37</v>
      </c>
      <c r="C591" t="s">
        <v>38</v>
      </c>
      <c r="D591" s="3">
        <v>60000</v>
      </c>
      <c r="E591">
        <v>2</v>
      </c>
      <c r="F591" t="s">
        <v>13</v>
      </c>
      <c r="G591" t="s">
        <v>28</v>
      </c>
      <c r="H591" t="s">
        <v>15</v>
      </c>
      <c r="I591">
        <v>0</v>
      </c>
      <c r="J591" t="s">
        <v>46</v>
      </c>
      <c r="K591" t="s">
        <v>32</v>
      </c>
      <c r="L591" t="str">
        <f t="shared" si="9"/>
        <v>Old</v>
      </c>
      <c r="M591">
        <v>57</v>
      </c>
      <c r="N591" t="s">
        <v>18</v>
      </c>
    </row>
    <row r="592" spans="1:14" x14ac:dyDescent="0.3">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
      <c r="A593">
        <v>18545</v>
      </c>
      <c r="B593" t="s">
        <v>36</v>
      </c>
      <c r="C593" t="s">
        <v>38</v>
      </c>
      <c r="D593" s="3">
        <v>40000</v>
      </c>
      <c r="E593">
        <v>4</v>
      </c>
      <c r="F593" t="s">
        <v>27</v>
      </c>
      <c r="G593" t="s">
        <v>21</v>
      </c>
      <c r="H593" t="s">
        <v>18</v>
      </c>
      <c r="I593">
        <v>2</v>
      </c>
      <c r="J593" t="s">
        <v>46</v>
      </c>
      <c r="K593" t="s">
        <v>32</v>
      </c>
      <c r="L593" t="str">
        <f t="shared" si="9"/>
        <v>Old</v>
      </c>
      <c r="M593">
        <v>61</v>
      </c>
      <c r="N593" t="s">
        <v>15</v>
      </c>
    </row>
    <row r="594" spans="1:14" x14ac:dyDescent="0.3">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3">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3">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3">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3">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3">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3">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3">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3">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3">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3">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3">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3">
      <c r="A606">
        <v>25261</v>
      </c>
      <c r="B606" t="s">
        <v>36</v>
      </c>
      <c r="C606" t="s">
        <v>38</v>
      </c>
      <c r="D606" s="3">
        <v>40000</v>
      </c>
      <c r="E606">
        <v>0</v>
      </c>
      <c r="F606" t="s">
        <v>27</v>
      </c>
      <c r="G606" t="s">
        <v>14</v>
      </c>
      <c r="H606" t="s">
        <v>15</v>
      </c>
      <c r="I606">
        <v>2</v>
      </c>
      <c r="J606" t="s">
        <v>23</v>
      </c>
      <c r="K606" t="s">
        <v>32</v>
      </c>
      <c r="L606" t="str">
        <f t="shared" si="9"/>
        <v>Adolescent</v>
      </c>
      <c r="M606">
        <v>27</v>
      </c>
      <c r="N606" t="s">
        <v>18</v>
      </c>
    </row>
    <row r="607" spans="1:14" x14ac:dyDescent="0.3">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3">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3">
      <c r="A609">
        <v>16145</v>
      </c>
      <c r="B609" t="s">
        <v>37</v>
      </c>
      <c r="C609" t="s">
        <v>39</v>
      </c>
      <c r="D609" s="3">
        <v>70000</v>
      </c>
      <c r="E609">
        <v>5</v>
      </c>
      <c r="F609" t="s">
        <v>31</v>
      </c>
      <c r="G609" t="s">
        <v>21</v>
      </c>
      <c r="H609" t="s">
        <v>15</v>
      </c>
      <c r="I609">
        <v>3</v>
      </c>
      <c r="J609" t="s">
        <v>46</v>
      </c>
      <c r="K609" t="s">
        <v>32</v>
      </c>
      <c r="L609" t="str">
        <f t="shared" si="9"/>
        <v>Middle Age</v>
      </c>
      <c r="M609">
        <v>46</v>
      </c>
      <c r="N609" t="s">
        <v>15</v>
      </c>
    </row>
    <row r="610" spans="1:14" x14ac:dyDescent="0.3">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3">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3">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3">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
      <c r="A614">
        <v>22983</v>
      </c>
      <c r="B614" t="s">
        <v>37</v>
      </c>
      <c r="C614" t="s">
        <v>39</v>
      </c>
      <c r="D614" s="3">
        <v>30000</v>
      </c>
      <c r="E614">
        <v>0</v>
      </c>
      <c r="F614" t="s">
        <v>29</v>
      </c>
      <c r="G614" t="s">
        <v>20</v>
      </c>
      <c r="H614" t="s">
        <v>15</v>
      </c>
      <c r="I614">
        <v>2</v>
      </c>
      <c r="J614" t="s">
        <v>23</v>
      </c>
      <c r="K614" t="s">
        <v>32</v>
      </c>
      <c r="L614" t="str">
        <f t="shared" si="9"/>
        <v>Adolescent</v>
      </c>
      <c r="M614">
        <v>27</v>
      </c>
      <c r="N614" t="s">
        <v>18</v>
      </c>
    </row>
    <row r="615" spans="1:14" x14ac:dyDescent="0.3">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3">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3">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3">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3">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3">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3">
      <c r="A621">
        <v>15814</v>
      </c>
      <c r="B621" t="s">
        <v>37</v>
      </c>
      <c r="C621" t="s">
        <v>39</v>
      </c>
      <c r="D621" s="3">
        <v>40000</v>
      </c>
      <c r="E621">
        <v>0</v>
      </c>
      <c r="F621" t="s">
        <v>27</v>
      </c>
      <c r="G621" t="s">
        <v>14</v>
      </c>
      <c r="H621" t="s">
        <v>15</v>
      </c>
      <c r="I621">
        <v>1</v>
      </c>
      <c r="J621" t="s">
        <v>23</v>
      </c>
      <c r="K621" t="s">
        <v>32</v>
      </c>
      <c r="L621" t="str">
        <f t="shared" si="9"/>
        <v>Adolescent</v>
      </c>
      <c r="M621">
        <v>30</v>
      </c>
      <c r="N621" t="s">
        <v>18</v>
      </c>
    </row>
    <row r="622" spans="1:14" x14ac:dyDescent="0.3">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3">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3">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3">
      <c r="A625">
        <v>21801</v>
      </c>
      <c r="B625" t="s">
        <v>36</v>
      </c>
      <c r="C625" t="s">
        <v>39</v>
      </c>
      <c r="D625" s="3">
        <v>70000</v>
      </c>
      <c r="E625">
        <v>4</v>
      </c>
      <c r="F625" t="s">
        <v>19</v>
      </c>
      <c r="G625" t="s">
        <v>21</v>
      </c>
      <c r="H625" t="s">
        <v>15</v>
      </c>
      <c r="I625">
        <v>1</v>
      </c>
      <c r="J625" t="s">
        <v>26</v>
      </c>
      <c r="K625" t="s">
        <v>32</v>
      </c>
      <c r="L625" t="str">
        <f t="shared" si="9"/>
        <v>Old</v>
      </c>
      <c r="M625">
        <v>55</v>
      </c>
      <c r="N625" t="s">
        <v>18</v>
      </c>
    </row>
    <row r="626" spans="1:14" x14ac:dyDescent="0.3">
      <c r="A626">
        <v>25943</v>
      </c>
      <c r="B626" t="s">
        <v>37</v>
      </c>
      <c r="C626" t="s">
        <v>39</v>
      </c>
      <c r="D626" s="3">
        <v>70000</v>
      </c>
      <c r="E626">
        <v>0</v>
      </c>
      <c r="F626" t="s">
        <v>19</v>
      </c>
      <c r="G626" t="s">
        <v>14</v>
      </c>
      <c r="H626" t="s">
        <v>18</v>
      </c>
      <c r="I626">
        <v>2</v>
      </c>
      <c r="J626" t="s">
        <v>16</v>
      </c>
      <c r="K626" t="s">
        <v>32</v>
      </c>
      <c r="L626" t="str">
        <f t="shared" si="9"/>
        <v>Adolescent</v>
      </c>
      <c r="M626">
        <v>27</v>
      </c>
      <c r="N626" t="s">
        <v>15</v>
      </c>
    </row>
    <row r="627" spans="1:14" x14ac:dyDescent="0.3">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3">
      <c r="A628">
        <v>20414</v>
      </c>
      <c r="B628" t="s">
        <v>36</v>
      </c>
      <c r="C628" t="s">
        <v>39</v>
      </c>
      <c r="D628" s="3">
        <v>60000</v>
      </c>
      <c r="E628">
        <v>0</v>
      </c>
      <c r="F628" t="s">
        <v>19</v>
      </c>
      <c r="G628" t="s">
        <v>14</v>
      </c>
      <c r="H628" t="s">
        <v>15</v>
      </c>
      <c r="I628">
        <v>2</v>
      </c>
      <c r="J628" t="s">
        <v>23</v>
      </c>
      <c r="K628" t="s">
        <v>32</v>
      </c>
      <c r="L628" t="str">
        <f t="shared" si="9"/>
        <v>Adolescent</v>
      </c>
      <c r="M628">
        <v>29</v>
      </c>
      <c r="N628" t="s">
        <v>18</v>
      </c>
    </row>
    <row r="629" spans="1:14" x14ac:dyDescent="0.3">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3">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
      <c r="A632">
        <v>27753</v>
      </c>
      <c r="B632" t="s">
        <v>36</v>
      </c>
      <c r="C632" t="s">
        <v>38</v>
      </c>
      <c r="D632" s="3">
        <v>40000</v>
      </c>
      <c r="E632">
        <v>0</v>
      </c>
      <c r="F632" t="s">
        <v>27</v>
      </c>
      <c r="G632" t="s">
        <v>14</v>
      </c>
      <c r="H632" t="s">
        <v>18</v>
      </c>
      <c r="I632">
        <v>2</v>
      </c>
      <c r="J632" t="s">
        <v>26</v>
      </c>
      <c r="K632" t="s">
        <v>32</v>
      </c>
      <c r="L632" t="str">
        <f t="shared" si="9"/>
        <v>Adolescent</v>
      </c>
      <c r="M632">
        <v>30</v>
      </c>
      <c r="N632" t="s">
        <v>18</v>
      </c>
    </row>
    <row r="633" spans="1:14" x14ac:dyDescent="0.3">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3">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3">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3">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3">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3">
      <c r="A639">
        <v>15272</v>
      </c>
      <c r="B639" t="s">
        <v>37</v>
      </c>
      <c r="C639" t="s">
        <v>38</v>
      </c>
      <c r="D639" s="3">
        <v>40000</v>
      </c>
      <c r="E639">
        <v>0</v>
      </c>
      <c r="F639" t="s">
        <v>27</v>
      </c>
      <c r="G639" t="s">
        <v>14</v>
      </c>
      <c r="H639" t="s">
        <v>18</v>
      </c>
      <c r="I639">
        <v>2</v>
      </c>
      <c r="J639" t="s">
        <v>26</v>
      </c>
      <c r="K639" t="s">
        <v>32</v>
      </c>
      <c r="L639" t="str">
        <f t="shared" si="9"/>
        <v>Adolescent</v>
      </c>
      <c r="M639">
        <v>30</v>
      </c>
      <c r="N639" t="s">
        <v>18</v>
      </c>
    </row>
    <row r="640" spans="1:14" x14ac:dyDescent="0.3">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3">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3">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3">
      <c r="A643">
        <v>21441</v>
      </c>
      <c r="B643" t="s">
        <v>36</v>
      </c>
      <c r="C643" t="s">
        <v>38</v>
      </c>
      <c r="D643" s="3">
        <v>50000</v>
      </c>
      <c r="E643">
        <v>4</v>
      </c>
      <c r="F643" t="s">
        <v>13</v>
      </c>
      <c r="G643" t="s">
        <v>28</v>
      </c>
      <c r="H643" t="s">
        <v>15</v>
      </c>
      <c r="I643">
        <v>2</v>
      </c>
      <c r="J643" t="s">
        <v>46</v>
      </c>
      <c r="K643" t="s">
        <v>32</v>
      </c>
      <c r="L643" t="str">
        <f t="shared" ref="L643:L706" si="10">IF(M643&gt;54,"Old",IF(M643&gt;=31,"Middle Age", IF(M643 &lt;31,"Adolescent","invalid")))</f>
        <v>Old</v>
      </c>
      <c r="M643">
        <v>64</v>
      </c>
      <c r="N643" t="s">
        <v>18</v>
      </c>
    </row>
    <row r="644" spans="1:14" x14ac:dyDescent="0.3">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3">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
      <c r="A646">
        <v>23368</v>
      </c>
      <c r="B646" t="s">
        <v>36</v>
      </c>
      <c r="C646" t="s">
        <v>39</v>
      </c>
      <c r="D646" s="3">
        <v>60000</v>
      </c>
      <c r="E646">
        <v>5</v>
      </c>
      <c r="F646" t="s">
        <v>13</v>
      </c>
      <c r="G646" t="s">
        <v>14</v>
      </c>
      <c r="H646" t="s">
        <v>15</v>
      </c>
      <c r="I646">
        <v>3</v>
      </c>
      <c r="J646" t="s">
        <v>46</v>
      </c>
      <c r="K646" t="s">
        <v>32</v>
      </c>
      <c r="L646" t="str">
        <f t="shared" si="10"/>
        <v>Middle Age</v>
      </c>
      <c r="M646">
        <v>41</v>
      </c>
      <c r="N646" t="s">
        <v>18</v>
      </c>
    </row>
    <row r="647" spans="1:14" x14ac:dyDescent="0.3">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3">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3">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3">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3">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3">
      <c r="A652">
        <v>18435</v>
      </c>
      <c r="B652" t="s">
        <v>37</v>
      </c>
      <c r="C652" t="s">
        <v>39</v>
      </c>
      <c r="D652" s="3">
        <v>70000</v>
      </c>
      <c r="E652">
        <v>5</v>
      </c>
      <c r="F652" t="s">
        <v>31</v>
      </c>
      <c r="G652" t="s">
        <v>28</v>
      </c>
      <c r="H652" t="s">
        <v>15</v>
      </c>
      <c r="I652">
        <v>2</v>
      </c>
      <c r="J652" t="s">
        <v>46</v>
      </c>
      <c r="K652" t="s">
        <v>32</v>
      </c>
      <c r="L652" t="str">
        <f t="shared" si="10"/>
        <v>Old</v>
      </c>
      <c r="M652">
        <v>67</v>
      </c>
      <c r="N652" t="s">
        <v>15</v>
      </c>
    </row>
    <row r="653" spans="1:14" x14ac:dyDescent="0.3">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3">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3">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3">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3">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3">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3">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3">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3">
      <c r="A661">
        <v>24643</v>
      </c>
      <c r="B661" t="s">
        <v>37</v>
      </c>
      <c r="C661" t="s">
        <v>39</v>
      </c>
      <c r="D661" s="3">
        <v>60000</v>
      </c>
      <c r="E661">
        <v>4</v>
      </c>
      <c r="F661" t="s">
        <v>13</v>
      </c>
      <c r="G661" t="s">
        <v>28</v>
      </c>
      <c r="H661" t="s">
        <v>15</v>
      </c>
      <c r="I661">
        <v>2</v>
      </c>
      <c r="J661" t="s">
        <v>46</v>
      </c>
      <c r="K661" t="s">
        <v>32</v>
      </c>
      <c r="L661" t="str">
        <f t="shared" si="10"/>
        <v>Old</v>
      </c>
      <c r="M661">
        <v>63</v>
      </c>
      <c r="N661" t="s">
        <v>18</v>
      </c>
    </row>
    <row r="662" spans="1:14" x14ac:dyDescent="0.3">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
      <c r="A663">
        <v>22976</v>
      </c>
      <c r="B663" t="s">
        <v>37</v>
      </c>
      <c r="C663" t="s">
        <v>38</v>
      </c>
      <c r="D663" s="3">
        <v>40000</v>
      </c>
      <c r="E663">
        <v>0</v>
      </c>
      <c r="F663" t="s">
        <v>27</v>
      </c>
      <c r="G663" t="s">
        <v>14</v>
      </c>
      <c r="H663" t="s">
        <v>18</v>
      </c>
      <c r="I663">
        <v>2</v>
      </c>
      <c r="J663" t="s">
        <v>16</v>
      </c>
      <c r="K663" t="s">
        <v>32</v>
      </c>
      <c r="L663" t="str">
        <f t="shared" si="10"/>
        <v>Adolescent</v>
      </c>
      <c r="M663">
        <v>28</v>
      </c>
      <c r="N663" t="s">
        <v>15</v>
      </c>
    </row>
    <row r="664" spans="1:14" x14ac:dyDescent="0.3">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3">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3">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3">
      <c r="A669">
        <v>20505</v>
      </c>
      <c r="B669" t="s">
        <v>36</v>
      </c>
      <c r="C669" t="s">
        <v>39</v>
      </c>
      <c r="D669" s="3">
        <v>40000</v>
      </c>
      <c r="E669">
        <v>5</v>
      </c>
      <c r="F669" t="s">
        <v>27</v>
      </c>
      <c r="G669" t="s">
        <v>21</v>
      </c>
      <c r="H669" t="s">
        <v>18</v>
      </c>
      <c r="I669">
        <v>2</v>
      </c>
      <c r="J669" t="s">
        <v>46</v>
      </c>
      <c r="K669" t="s">
        <v>32</v>
      </c>
      <c r="L669" t="str">
        <f t="shared" si="10"/>
        <v>Old</v>
      </c>
      <c r="M669">
        <v>61</v>
      </c>
      <c r="N669" t="s">
        <v>18</v>
      </c>
    </row>
    <row r="670" spans="1:14" x14ac:dyDescent="0.3">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
      <c r="A672">
        <v>21471</v>
      </c>
      <c r="B672" t="s">
        <v>36</v>
      </c>
      <c r="C672" t="s">
        <v>38</v>
      </c>
      <c r="D672" s="3">
        <v>70000</v>
      </c>
      <c r="E672">
        <v>2</v>
      </c>
      <c r="F672" t="s">
        <v>19</v>
      </c>
      <c r="G672" t="s">
        <v>21</v>
      </c>
      <c r="H672" t="s">
        <v>15</v>
      </c>
      <c r="I672">
        <v>1</v>
      </c>
      <c r="J672" t="s">
        <v>46</v>
      </c>
      <c r="K672" t="s">
        <v>32</v>
      </c>
      <c r="L672" t="str">
        <f t="shared" si="10"/>
        <v>Old</v>
      </c>
      <c r="M672">
        <v>59</v>
      </c>
      <c r="N672" t="s">
        <v>18</v>
      </c>
    </row>
    <row r="673" spans="1:14" x14ac:dyDescent="0.3">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3">
      <c r="A674">
        <v>21260</v>
      </c>
      <c r="B674" t="s">
        <v>37</v>
      </c>
      <c r="C674" t="s">
        <v>39</v>
      </c>
      <c r="D674" s="3">
        <v>40000</v>
      </c>
      <c r="E674">
        <v>0</v>
      </c>
      <c r="F674" t="s">
        <v>27</v>
      </c>
      <c r="G674" t="s">
        <v>14</v>
      </c>
      <c r="H674" t="s">
        <v>15</v>
      </c>
      <c r="I674">
        <v>2</v>
      </c>
      <c r="J674" t="s">
        <v>23</v>
      </c>
      <c r="K674" t="s">
        <v>32</v>
      </c>
      <c r="L674" t="str">
        <f t="shared" si="10"/>
        <v>Adolescent</v>
      </c>
      <c r="M674">
        <v>30</v>
      </c>
      <c r="N674" t="s">
        <v>18</v>
      </c>
    </row>
    <row r="675" spans="1:14" x14ac:dyDescent="0.3">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3">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3">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3">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3">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3">
      <c r="A681">
        <v>21770</v>
      </c>
      <c r="B681" t="s">
        <v>36</v>
      </c>
      <c r="C681" t="s">
        <v>38</v>
      </c>
      <c r="D681" s="3">
        <v>60000</v>
      </c>
      <c r="E681">
        <v>4</v>
      </c>
      <c r="F681" t="s">
        <v>13</v>
      </c>
      <c r="G681" t="s">
        <v>28</v>
      </c>
      <c r="H681" t="s">
        <v>15</v>
      </c>
      <c r="I681">
        <v>2</v>
      </c>
      <c r="J681" t="s">
        <v>46</v>
      </c>
      <c r="K681" t="s">
        <v>32</v>
      </c>
      <c r="L681" t="str">
        <f t="shared" si="10"/>
        <v>Old</v>
      </c>
      <c r="M681">
        <v>60</v>
      </c>
      <c r="N681" t="s">
        <v>18</v>
      </c>
    </row>
    <row r="682" spans="1:14" x14ac:dyDescent="0.3">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3">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3">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3">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3">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3">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3">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3">
      <c r="A689">
        <v>18910</v>
      </c>
      <c r="B689" t="s">
        <v>37</v>
      </c>
      <c r="C689" t="s">
        <v>38</v>
      </c>
      <c r="D689" s="3">
        <v>30000</v>
      </c>
      <c r="E689">
        <v>0</v>
      </c>
      <c r="F689" t="s">
        <v>19</v>
      </c>
      <c r="G689" t="s">
        <v>14</v>
      </c>
      <c r="H689" t="s">
        <v>15</v>
      </c>
      <c r="I689">
        <v>2</v>
      </c>
      <c r="J689" t="s">
        <v>23</v>
      </c>
      <c r="K689" t="s">
        <v>32</v>
      </c>
      <c r="L689" t="str">
        <f t="shared" si="10"/>
        <v>Adolescent</v>
      </c>
      <c r="M689">
        <v>30</v>
      </c>
      <c r="N689" t="s">
        <v>18</v>
      </c>
    </row>
    <row r="690" spans="1:14" x14ac:dyDescent="0.3">
      <c r="A690">
        <v>11699</v>
      </c>
      <c r="B690" t="s">
        <v>37</v>
      </c>
      <c r="C690" t="s">
        <v>38</v>
      </c>
      <c r="D690" s="3">
        <v>60000</v>
      </c>
      <c r="E690">
        <v>0</v>
      </c>
      <c r="F690" t="s">
        <v>13</v>
      </c>
      <c r="G690" t="s">
        <v>14</v>
      </c>
      <c r="H690" t="s">
        <v>18</v>
      </c>
      <c r="I690">
        <v>2</v>
      </c>
      <c r="J690" t="s">
        <v>16</v>
      </c>
      <c r="K690" t="s">
        <v>32</v>
      </c>
      <c r="L690" t="str">
        <f t="shared" si="10"/>
        <v>Adolescent</v>
      </c>
      <c r="M690">
        <v>30</v>
      </c>
      <c r="N690" t="s">
        <v>18</v>
      </c>
    </row>
    <row r="691" spans="1:14" x14ac:dyDescent="0.3">
      <c r="A691">
        <v>16725</v>
      </c>
      <c r="B691" t="s">
        <v>36</v>
      </c>
      <c r="C691" t="s">
        <v>38</v>
      </c>
      <c r="D691" s="3">
        <v>30000</v>
      </c>
      <c r="E691">
        <v>0</v>
      </c>
      <c r="F691" t="s">
        <v>27</v>
      </c>
      <c r="G691" t="s">
        <v>14</v>
      </c>
      <c r="H691" t="s">
        <v>15</v>
      </c>
      <c r="I691">
        <v>2</v>
      </c>
      <c r="J691" t="s">
        <v>23</v>
      </c>
      <c r="K691" t="s">
        <v>32</v>
      </c>
      <c r="L691" t="str">
        <f t="shared" si="10"/>
        <v>Adolescent</v>
      </c>
      <c r="M691">
        <v>26</v>
      </c>
      <c r="N691" t="s">
        <v>18</v>
      </c>
    </row>
    <row r="692" spans="1:14" x14ac:dyDescent="0.3">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3">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3">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3">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3">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3">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3">
      <c r="A698">
        <v>29112</v>
      </c>
      <c r="B698" t="s">
        <v>37</v>
      </c>
      <c r="C698" t="s">
        <v>38</v>
      </c>
      <c r="D698" s="3">
        <v>60000</v>
      </c>
      <c r="E698">
        <v>0</v>
      </c>
      <c r="F698" t="s">
        <v>19</v>
      </c>
      <c r="G698" t="s">
        <v>21</v>
      </c>
      <c r="H698" t="s">
        <v>18</v>
      </c>
      <c r="I698">
        <v>2</v>
      </c>
      <c r="J698" t="s">
        <v>26</v>
      </c>
      <c r="K698" t="s">
        <v>32</v>
      </c>
      <c r="L698" t="str">
        <f t="shared" si="10"/>
        <v>Adolescent</v>
      </c>
      <c r="M698">
        <v>30</v>
      </c>
      <c r="N698" t="s">
        <v>18</v>
      </c>
    </row>
    <row r="699" spans="1:14" x14ac:dyDescent="0.3">
      <c r="A699">
        <v>14090</v>
      </c>
      <c r="B699" t="s">
        <v>36</v>
      </c>
      <c r="C699" t="s">
        <v>39</v>
      </c>
      <c r="D699" s="3">
        <v>30000</v>
      </c>
      <c r="E699">
        <v>0</v>
      </c>
      <c r="F699" t="s">
        <v>29</v>
      </c>
      <c r="G699" t="s">
        <v>20</v>
      </c>
      <c r="H699" t="s">
        <v>18</v>
      </c>
      <c r="I699">
        <v>2</v>
      </c>
      <c r="J699" t="s">
        <v>16</v>
      </c>
      <c r="K699" t="s">
        <v>32</v>
      </c>
      <c r="L699" t="str">
        <f t="shared" si="10"/>
        <v>Adolescent</v>
      </c>
      <c r="M699">
        <v>28</v>
      </c>
      <c r="N699" t="s">
        <v>18</v>
      </c>
    </row>
    <row r="700" spans="1:14" x14ac:dyDescent="0.3">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3">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3">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
      <c r="A703">
        <v>22014</v>
      </c>
      <c r="B703" t="s">
        <v>37</v>
      </c>
      <c r="C703" t="s">
        <v>38</v>
      </c>
      <c r="D703" s="3">
        <v>30000</v>
      </c>
      <c r="E703">
        <v>0</v>
      </c>
      <c r="F703" t="s">
        <v>27</v>
      </c>
      <c r="G703" t="s">
        <v>14</v>
      </c>
      <c r="H703" t="s">
        <v>15</v>
      </c>
      <c r="I703">
        <v>2</v>
      </c>
      <c r="J703" t="s">
        <v>23</v>
      </c>
      <c r="K703" t="s">
        <v>32</v>
      </c>
      <c r="L703" t="str">
        <f t="shared" si="10"/>
        <v>Adolescent</v>
      </c>
      <c r="M703">
        <v>26</v>
      </c>
      <c r="N703" t="s">
        <v>18</v>
      </c>
    </row>
    <row r="704" spans="1:14" x14ac:dyDescent="0.3">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3">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3">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3">
      <c r="A707">
        <v>11199</v>
      </c>
      <c r="B707" t="s">
        <v>36</v>
      </c>
      <c r="C707" t="s">
        <v>39</v>
      </c>
      <c r="D707" s="3">
        <v>70000</v>
      </c>
      <c r="E707">
        <v>4</v>
      </c>
      <c r="F707" t="s">
        <v>13</v>
      </c>
      <c r="G707" t="s">
        <v>28</v>
      </c>
      <c r="H707" t="s">
        <v>15</v>
      </c>
      <c r="I707">
        <v>1</v>
      </c>
      <c r="J707" t="s">
        <v>46</v>
      </c>
      <c r="K707" t="s">
        <v>32</v>
      </c>
      <c r="L707" t="str">
        <f t="shared" ref="L707:L770" si="11">IF(M707&gt;54,"Old",IF(M707&gt;=31,"Middle Age", IF(M707 &lt;31,"Adolescent","invalid")))</f>
        <v>Old</v>
      </c>
      <c r="M707">
        <v>59</v>
      </c>
      <c r="N707" t="s">
        <v>18</v>
      </c>
    </row>
    <row r="708" spans="1:14" x14ac:dyDescent="0.3">
      <c r="A708">
        <v>20296</v>
      </c>
      <c r="B708" t="s">
        <v>37</v>
      </c>
      <c r="C708" t="s">
        <v>39</v>
      </c>
      <c r="D708" s="3">
        <v>60000</v>
      </c>
      <c r="E708">
        <v>0</v>
      </c>
      <c r="F708" t="s">
        <v>19</v>
      </c>
      <c r="G708" t="s">
        <v>14</v>
      </c>
      <c r="H708" t="s">
        <v>18</v>
      </c>
      <c r="I708">
        <v>1</v>
      </c>
      <c r="J708" t="s">
        <v>26</v>
      </c>
      <c r="K708" t="s">
        <v>32</v>
      </c>
      <c r="L708" t="str">
        <f t="shared" si="11"/>
        <v>Middle Age</v>
      </c>
      <c r="M708">
        <v>33</v>
      </c>
      <c r="N708" t="s">
        <v>15</v>
      </c>
    </row>
    <row r="709" spans="1:14" x14ac:dyDescent="0.3">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3">
      <c r="A710">
        <v>18069</v>
      </c>
      <c r="B710" t="s">
        <v>36</v>
      </c>
      <c r="C710" t="s">
        <v>38</v>
      </c>
      <c r="D710" s="3">
        <v>70000</v>
      </c>
      <c r="E710">
        <v>5</v>
      </c>
      <c r="F710" t="s">
        <v>13</v>
      </c>
      <c r="G710" t="s">
        <v>28</v>
      </c>
      <c r="H710" t="s">
        <v>15</v>
      </c>
      <c r="I710">
        <v>4</v>
      </c>
      <c r="J710" t="s">
        <v>46</v>
      </c>
      <c r="K710" t="s">
        <v>32</v>
      </c>
      <c r="L710" t="str">
        <f t="shared" si="11"/>
        <v>Old</v>
      </c>
      <c r="M710">
        <v>60</v>
      </c>
      <c r="N710" t="s">
        <v>18</v>
      </c>
    </row>
    <row r="711" spans="1:14" x14ac:dyDescent="0.3">
      <c r="A711">
        <v>23712</v>
      </c>
      <c r="B711" t="s">
        <v>37</v>
      </c>
      <c r="C711" t="s">
        <v>39</v>
      </c>
      <c r="D711" s="3">
        <v>70000</v>
      </c>
      <c r="E711">
        <v>2</v>
      </c>
      <c r="F711" t="s">
        <v>13</v>
      </c>
      <c r="G711" t="s">
        <v>28</v>
      </c>
      <c r="H711" t="s">
        <v>15</v>
      </c>
      <c r="I711">
        <v>1</v>
      </c>
      <c r="J711" t="s">
        <v>46</v>
      </c>
      <c r="K711" t="s">
        <v>32</v>
      </c>
      <c r="L711" t="str">
        <f t="shared" si="11"/>
        <v>Old</v>
      </c>
      <c r="M711">
        <v>59</v>
      </c>
      <c r="N711" t="s">
        <v>18</v>
      </c>
    </row>
    <row r="712" spans="1:14" x14ac:dyDescent="0.3">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3">
      <c r="A713">
        <v>20518</v>
      </c>
      <c r="B713" t="s">
        <v>36</v>
      </c>
      <c r="C713" t="s">
        <v>39</v>
      </c>
      <c r="D713" s="3">
        <v>70000</v>
      </c>
      <c r="E713">
        <v>2</v>
      </c>
      <c r="F713" t="s">
        <v>19</v>
      </c>
      <c r="G713" t="s">
        <v>21</v>
      </c>
      <c r="H713" t="s">
        <v>15</v>
      </c>
      <c r="I713">
        <v>1</v>
      </c>
      <c r="J713" t="s">
        <v>46</v>
      </c>
      <c r="K713" t="s">
        <v>32</v>
      </c>
      <c r="L713" t="str">
        <f t="shared" si="11"/>
        <v>Old</v>
      </c>
      <c r="M713">
        <v>58</v>
      </c>
      <c r="N713" t="s">
        <v>18</v>
      </c>
    </row>
    <row r="714" spans="1:14" x14ac:dyDescent="0.3">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3">
      <c r="A716">
        <v>16020</v>
      </c>
      <c r="B716" t="s">
        <v>36</v>
      </c>
      <c r="C716" t="s">
        <v>38</v>
      </c>
      <c r="D716" s="3">
        <v>40000</v>
      </c>
      <c r="E716">
        <v>0</v>
      </c>
      <c r="F716" t="s">
        <v>27</v>
      </c>
      <c r="G716" t="s">
        <v>14</v>
      </c>
      <c r="H716" t="s">
        <v>15</v>
      </c>
      <c r="I716">
        <v>2</v>
      </c>
      <c r="J716" t="s">
        <v>23</v>
      </c>
      <c r="K716" t="s">
        <v>32</v>
      </c>
      <c r="L716" t="str">
        <f t="shared" si="11"/>
        <v>Adolescent</v>
      </c>
      <c r="M716">
        <v>28</v>
      </c>
      <c r="N716" t="s">
        <v>15</v>
      </c>
    </row>
    <row r="717" spans="1:14" x14ac:dyDescent="0.3">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3">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3">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3">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3">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3">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3">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3">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3">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3">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3">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3">
      <c r="A730">
        <v>27731</v>
      </c>
      <c r="B730" t="s">
        <v>36</v>
      </c>
      <c r="C730" t="s">
        <v>38</v>
      </c>
      <c r="D730" s="3">
        <v>40000</v>
      </c>
      <c r="E730">
        <v>0</v>
      </c>
      <c r="F730" t="s">
        <v>27</v>
      </c>
      <c r="G730" t="s">
        <v>14</v>
      </c>
      <c r="H730" t="s">
        <v>15</v>
      </c>
      <c r="I730">
        <v>2</v>
      </c>
      <c r="J730" t="s">
        <v>23</v>
      </c>
      <c r="K730" t="s">
        <v>32</v>
      </c>
      <c r="L730" t="str">
        <f t="shared" si="11"/>
        <v>Adolescent</v>
      </c>
      <c r="M730">
        <v>27</v>
      </c>
      <c r="N730" t="s">
        <v>18</v>
      </c>
    </row>
    <row r="731" spans="1:14" x14ac:dyDescent="0.3">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3">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3">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3">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3">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3">
      <c r="A737">
        <v>14514</v>
      </c>
      <c r="B737" t="s">
        <v>37</v>
      </c>
      <c r="C737" t="s">
        <v>39</v>
      </c>
      <c r="D737" s="3">
        <v>30000</v>
      </c>
      <c r="E737">
        <v>0</v>
      </c>
      <c r="F737" t="s">
        <v>19</v>
      </c>
      <c r="G737" t="s">
        <v>14</v>
      </c>
      <c r="H737" t="s">
        <v>15</v>
      </c>
      <c r="I737">
        <v>1</v>
      </c>
      <c r="J737" t="s">
        <v>23</v>
      </c>
      <c r="K737" t="s">
        <v>32</v>
      </c>
      <c r="L737" t="str">
        <f t="shared" si="11"/>
        <v>Adolescent</v>
      </c>
      <c r="M737">
        <v>26</v>
      </c>
      <c r="N737" t="s">
        <v>18</v>
      </c>
    </row>
    <row r="738" spans="1:14" x14ac:dyDescent="0.3">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3">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3">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3">
      <c r="A741">
        <v>11225</v>
      </c>
      <c r="B741" t="s">
        <v>36</v>
      </c>
      <c r="C741" t="s">
        <v>39</v>
      </c>
      <c r="D741" s="3">
        <v>60000</v>
      </c>
      <c r="E741">
        <v>2</v>
      </c>
      <c r="F741" t="s">
        <v>19</v>
      </c>
      <c r="G741" t="s">
        <v>21</v>
      </c>
      <c r="H741" t="s">
        <v>15</v>
      </c>
      <c r="I741">
        <v>1</v>
      </c>
      <c r="J741" t="s">
        <v>46</v>
      </c>
      <c r="K741" t="s">
        <v>32</v>
      </c>
      <c r="L741" t="str">
        <f t="shared" si="11"/>
        <v>Old</v>
      </c>
      <c r="M741">
        <v>55</v>
      </c>
      <c r="N741" t="s">
        <v>18</v>
      </c>
    </row>
    <row r="742" spans="1:14" x14ac:dyDescent="0.3">
      <c r="A742">
        <v>17657</v>
      </c>
      <c r="B742" t="s">
        <v>36</v>
      </c>
      <c r="C742" t="s">
        <v>38</v>
      </c>
      <c r="D742" s="3">
        <v>40000</v>
      </c>
      <c r="E742">
        <v>4</v>
      </c>
      <c r="F742" t="s">
        <v>19</v>
      </c>
      <c r="G742" t="s">
        <v>20</v>
      </c>
      <c r="H742" t="s">
        <v>18</v>
      </c>
      <c r="I742">
        <v>0</v>
      </c>
      <c r="J742" t="s">
        <v>16</v>
      </c>
      <c r="K742" t="s">
        <v>32</v>
      </c>
      <c r="L742" t="str">
        <f t="shared" si="11"/>
        <v>Adolescent</v>
      </c>
      <c r="M742">
        <v>30</v>
      </c>
      <c r="N742" t="s">
        <v>18</v>
      </c>
    </row>
    <row r="743" spans="1:14" x14ac:dyDescent="0.3">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3">
      <c r="A744">
        <v>14077</v>
      </c>
      <c r="B744" t="s">
        <v>37</v>
      </c>
      <c r="C744" t="s">
        <v>38</v>
      </c>
      <c r="D744" s="3">
        <v>30000</v>
      </c>
      <c r="E744">
        <v>0</v>
      </c>
      <c r="F744" t="s">
        <v>27</v>
      </c>
      <c r="G744" t="s">
        <v>14</v>
      </c>
      <c r="H744" t="s">
        <v>15</v>
      </c>
      <c r="I744">
        <v>2</v>
      </c>
      <c r="J744" t="s">
        <v>23</v>
      </c>
      <c r="K744" t="s">
        <v>32</v>
      </c>
      <c r="L744" t="str">
        <f t="shared" si="11"/>
        <v>Adolescent</v>
      </c>
      <c r="M744">
        <v>30</v>
      </c>
      <c r="N744" t="s">
        <v>18</v>
      </c>
    </row>
    <row r="745" spans="1:14" x14ac:dyDescent="0.3">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3">
      <c r="A746">
        <v>20535</v>
      </c>
      <c r="B746" t="s">
        <v>36</v>
      </c>
      <c r="C746" t="s">
        <v>39</v>
      </c>
      <c r="D746" s="3">
        <v>70000</v>
      </c>
      <c r="E746">
        <v>4</v>
      </c>
      <c r="F746" t="s">
        <v>19</v>
      </c>
      <c r="G746" t="s">
        <v>21</v>
      </c>
      <c r="H746" t="s">
        <v>15</v>
      </c>
      <c r="I746">
        <v>1</v>
      </c>
      <c r="J746" t="s">
        <v>46</v>
      </c>
      <c r="K746" t="s">
        <v>32</v>
      </c>
      <c r="L746" t="str">
        <f t="shared" si="11"/>
        <v>Old</v>
      </c>
      <c r="M746">
        <v>56</v>
      </c>
      <c r="N746" t="s">
        <v>18</v>
      </c>
    </row>
    <row r="747" spans="1:14" x14ac:dyDescent="0.3">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3">
      <c r="A748">
        <v>28043</v>
      </c>
      <c r="B748" t="s">
        <v>36</v>
      </c>
      <c r="C748" t="s">
        <v>39</v>
      </c>
      <c r="D748" s="3">
        <v>60000</v>
      </c>
      <c r="E748">
        <v>2</v>
      </c>
      <c r="F748" t="s">
        <v>13</v>
      </c>
      <c r="G748" t="s">
        <v>28</v>
      </c>
      <c r="H748" t="s">
        <v>15</v>
      </c>
      <c r="I748">
        <v>0</v>
      </c>
      <c r="J748" t="s">
        <v>46</v>
      </c>
      <c r="K748" t="s">
        <v>32</v>
      </c>
      <c r="L748" t="str">
        <f t="shared" si="11"/>
        <v>Old</v>
      </c>
      <c r="M748">
        <v>56</v>
      </c>
      <c r="N748" t="s">
        <v>18</v>
      </c>
    </row>
    <row r="749" spans="1:14" x14ac:dyDescent="0.3">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3">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3">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3">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3">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3">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3">
      <c r="A755">
        <v>28087</v>
      </c>
      <c r="B755" t="s">
        <v>37</v>
      </c>
      <c r="C755" t="s">
        <v>39</v>
      </c>
      <c r="D755" s="3">
        <v>40000</v>
      </c>
      <c r="E755">
        <v>0</v>
      </c>
      <c r="F755" t="s">
        <v>19</v>
      </c>
      <c r="G755" t="s">
        <v>14</v>
      </c>
      <c r="H755" t="s">
        <v>18</v>
      </c>
      <c r="I755">
        <v>1</v>
      </c>
      <c r="J755" t="s">
        <v>26</v>
      </c>
      <c r="K755" t="s">
        <v>32</v>
      </c>
      <c r="L755" t="str">
        <f t="shared" si="11"/>
        <v>Adolescent</v>
      </c>
      <c r="M755">
        <v>27</v>
      </c>
      <c r="N755" t="s">
        <v>18</v>
      </c>
    </row>
    <row r="756" spans="1:14" x14ac:dyDescent="0.3">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3">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3">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3">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3">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3">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3">
      <c r="A763">
        <v>13216</v>
      </c>
      <c r="B763" t="s">
        <v>36</v>
      </c>
      <c r="C763" t="s">
        <v>39</v>
      </c>
      <c r="D763" s="3">
        <v>60000</v>
      </c>
      <c r="E763">
        <v>5</v>
      </c>
      <c r="F763" t="s">
        <v>13</v>
      </c>
      <c r="G763" t="s">
        <v>28</v>
      </c>
      <c r="H763" t="s">
        <v>15</v>
      </c>
      <c r="I763">
        <v>3</v>
      </c>
      <c r="J763" t="s">
        <v>46</v>
      </c>
      <c r="K763" t="s">
        <v>32</v>
      </c>
      <c r="L763" t="str">
        <f t="shared" si="11"/>
        <v>Old</v>
      </c>
      <c r="M763">
        <v>59</v>
      </c>
      <c r="N763" t="s">
        <v>18</v>
      </c>
    </row>
    <row r="764" spans="1:14" x14ac:dyDescent="0.3">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3">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3">
      <c r="A766">
        <v>25908</v>
      </c>
      <c r="B766" t="s">
        <v>36</v>
      </c>
      <c r="C766" t="s">
        <v>39</v>
      </c>
      <c r="D766" s="3">
        <v>60000</v>
      </c>
      <c r="E766">
        <v>0</v>
      </c>
      <c r="F766" t="s">
        <v>19</v>
      </c>
      <c r="G766" t="s">
        <v>14</v>
      </c>
      <c r="H766" t="s">
        <v>18</v>
      </c>
      <c r="I766">
        <v>1</v>
      </c>
      <c r="J766" t="s">
        <v>26</v>
      </c>
      <c r="K766" t="s">
        <v>32</v>
      </c>
      <c r="L766" t="str">
        <f t="shared" si="11"/>
        <v>Adolescent</v>
      </c>
      <c r="M766">
        <v>27</v>
      </c>
      <c r="N766" t="s">
        <v>18</v>
      </c>
    </row>
    <row r="767" spans="1:14" x14ac:dyDescent="0.3">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3">
      <c r="A768">
        <v>14608</v>
      </c>
      <c r="B768" t="s">
        <v>36</v>
      </c>
      <c r="C768" t="s">
        <v>38</v>
      </c>
      <c r="D768" s="3">
        <v>50000</v>
      </c>
      <c r="E768">
        <v>4</v>
      </c>
      <c r="F768" t="s">
        <v>13</v>
      </c>
      <c r="G768" t="s">
        <v>14</v>
      </c>
      <c r="H768" t="s">
        <v>15</v>
      </c>
      <c r="I768">
        <v>3</v>
      </c>
      <c r="J768" t="s">
        <v>46</v>
      </c>
      <c r="K768" t="s">
        <v>32</v>
      </c>
      <c r="L768" t="str">
        <f t="shared" si="11"/>
        <v>Middle Age</v>
      </c>
      <c r="M768">
        <v>42</v>
      </c>
      <c r="N768" t="s">
        <v>18</v>
      </c>
    </row>
    <row r="769" spans="1:14" x14ac:dyDescent="0.3">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3">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
      <c r="A771">
        <v>18952</v>
      </c>
      <c r="B771" t="s">
        <v>36</v>
      </c>
      <c r="C771" t="s">
        <v>39</v>
      </c>
      <c r="D771" s="3">
        <v>100000</v>
      </c>
      <c r="E771">
        <v>4</v>
      </c>
      <c r="F771" t="s">
        <v>13</v>
      </c>
      <c r="G771" t="s">
        <v>28</v>
      </c>
      <c r="H771" t="s">
        <v>15</v>
      </c>
      <c r="I771">
        <v>4</v>
      </c>
      <c r="J771" t="s">
        <v>16</v>
      </c>
      <c r="K771" t="s">
        <v>32</v>
      </c>
      <c r="L771" t="str">
        <f t="shared" ref="L771:L834" si="12">IF(M771&gt;54,"Old",IF(M771&gt;=31,"Middle Age", IF(M771 &lt;31,"Adolescent","invalid")))</f>
        <v>Middle Age</v>
      </c>
      <c r="M771">
        <v>40</v>
      </c>
      <c r="N771" t="s">
        <v>18</v>
      </c>
    </row>
    <row r="772" spans="1:14" x14ac:dyDescent="0.3">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3">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3">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3">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
      <c r="A777">
        <v>29030</v>
      </c>
      <c r="B777" t="s">
        <v>36</v>
      </c>
      <c r="C777" t="s">
        <v>38</v>
      </c>
      <c r="D777" s="3">
        <v>70000</v>
      </c>
      <c r="E777">
        <v>2</v>
      </c>
      <c r="F777" t="s">
        <v>29</v>
      </c>
      <c r="G777" t="s">
        <v>14</v>
      </c>
      <c r="H777" t="s">
        <v>15</v>
      </c>
      <c r="I777">
        <v>2</v>
      </c>
      <c r="J777" t="s">
        <v>46</v>
      </c>
      <c r="K777" t="s">
        <v>32</v>
      </c>
      <c r="L777" t="str">
        <f t="shared" si="12"/>
        <v>Middle Age</v>
      </c>
      <c r="M777">
        <v>54</v>
      </c>
      <c r="N777" t="s">
        <v>18</v>
      </c>
    </row>
    <row r="778" spans="1:14" x14ac:dyDescent="0.3">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3">
      <c r="A779">
        <v>13151</v>
      </c>
      <c r="B779" t="s">
        <v>37</v>
      </c>
      <c r="C779" t="s">
        <v>38</v>
      </c>
      <c r="D779" s="3">
        <v>40000</v>
      </c>
      <c r="E779">
        <v>0</v>
      </c>
      <c r="F779" t="s">
        <v>27</v>
      </c>
      <c r="G779" t="s">
        <v>14</v>
      </c>
      <c r="H779" t="s">
        <v>15</v>
      </c>
      <c r="I779">
        <v>2</v>
      </c>
      <c r="J779" t="s">
        <v>23</v>
      </c>
      <c r="K779" t="s">
        <v>32</v>
      </c>
      <c r="L779" t="str">
        <f t="shared" si="12"/>
        <v>Adolescent</v>
      </c>
      <c r="M779">
        <v>27</v>
      </c>
      <c r="N779" t="s">
        <v>18</v>
      </c>
    </row>
    <row r="780" spans="1:14" x14ac:dyDescent="0.3">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3">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3">
      <c r="A782">
        <v>18105</v>
      </c>
      <c r="B782" t="s">
        <v>36</v>
      </c>
      <c r="C782" t="s">
        <v>39</v>
      </c>
      <c r="D782" s="3">
        <v>60000</v>
      </c>
      <c r="E782">
        <v>2</v>
      </c>
      <c r="F782" t="s">
        <v>19</v>
      </c>
      <c r="G782" t="s">
        <v>21</v>
      </c>
      <c r="H782" t="s">
        <v>15</v>
      </c>
      <c r="I782">
        <v>1</v>
      </c>
      <c r="J782" t="s">
        <v>46</v>
      </c>
      <c r="K782" t="s">
        <v>32</v>
      </c>
      <c r="L782" t="str">
        <f t="shared" si="12"/>
        <v>Old</v>
      </c>
      <c r="M782">
        <v>55</v>
      </c>
      <c r="N782" t="s">
        <v>18</v>
      </c>
    </row>
    <row r="783" spans="1:14" x14ac:dyDescent="0.3">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3">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3">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3">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3">
      <c r="A787">
        <v>24496</v>
      </c>
      <c r="B787" t="s">
        <v>37</v>
      </c>
      <c r="C787" t="s">
        <v>39</v>
      </c>
      <c r="D787" s="3">
        <v>40000</v>
      </c>
      <c r="E787">
        <v>0</v>
      </c>
      <c r="F787" t="s">
        <v>27</v>
      </c>
      <c r="G787" t="s">
        <v>14</v>
      </c>
      <c r="H787" t="s">
        <v>18</v>
      </c>
      <c r="I787">
        <v>2</v>
      </c>
      <c r="J787" t="s">
        <v>16</v>
      </c>
      <c r="K787" t="s">
        <v>32</v>
      </c>
      <c r="L787" t="str">
        <f t="shared" si="12"/>
        <v>Adolescent</v>
      </c>
      <c r="M787">
        <v>28</v>
      </c>
      <c r="N787" t="s">
        <v>15</v>
      </c>
    </row>
    <row r="788" spans="1:14" x14ac:dyDescent="0.3">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3">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3">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3">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3">
      <c r="A793">
        <v>18363</v>
      </c>
      <c r="B793" t="s">
        <v>36</v>
      </c>
      <c r="C793" t="s">
        <v>38</v>
      </c>
      <c r="D793" s="3">
        <v>40000</v>
      </c>
      <c r="E793">
        <v>0</v>
      </c>
      <c r="F793" t="s">
        <v>27</v>
      </c>
      <c r="G793" t="s">
        <v>14</v>
      </c>
      <c r="H793" t="s">
        <v>15</v>
      </c>
      <c r="I793">
        <v>2</v>
      </c>
      <c r="J793" t="s">
        <v>23</v>
      </c>
      <c r="K793" t="s">
        <v>32</v>
      </c>
      <c r="L793" t="str">
        <f t="shared" si="12"/>
        <v>Adolescent</v>
      </c>
      <c r="M793">
        <v>28</v>
      </c>
      <c r="N793" t="s">
        <v>15</v>
      </c>
    </row>
    <row r="794" spans="1:14" x14ac:dyDescent="0.3">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3">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3">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3">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3">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3">
      <c r="A799">
        <v>20310</v>
      </c>
      <c r="B799" t="s">
        <v>37</v>
      </c>
      <c r="C799" t="s">
        <v>38</v>
      </c>
      <c r="D799" s="3">
        <v>60000</v>
      </c>
      <c r="E799">
        <v>0</v>
      </c>
      <c r="F799" t="s">
        <v>19</v>
      </c>
      <c r="G799" t="s">
        <v>14</v>
      </c>
      <c r="H799" t="s">
        <v>15</v>
      </c>
      <c r="I799">
        <v>1</v>
      </c>
      <c r="J799" t="s">
        <v>23</v>
      </c>
      <c r="K799" t="s">
        <v>32</v>
      </c>
      <c r="L799" t="str">
        <f t="shared" si="12"/>
        <v>Adolescent</v>
      </c>
      <c r="M799">
        <v>27</v>
      </c>
      <c r="N799" t="s">
        <v>15</v>
      </c>
    </row>
    <row r="800" spans="1:14" x14ac:dyDescent="0.3">
      <c r="A800">
        <v>22971</v>
      </c>
      <c r="B800" t="s">
        <v>37</v>
      </c>
      <c r="C800" t="s">
        <v>39</v>
      </c>
      <c r="D800" s="3">
        <v>30000</v>
      </c>
      <c r="E800">
        <v>0</v>
      </c>
      <c r="F800" t="s">
        <v>27</v>
      </c>
      <c r="G800" t="s">
        <v>14</v>
      </c>
      <c r="H800" t="s">
        <v>18</v>
      </c>
      <c r="I800">
        <v>2</v>
      </c>
      <c r="J800" t="s">
        <v>16</v>
      </c>
      <c r="K800" t="s">
        <v>32</v>
      </c>
      <c r="L800" t="str">
        <f t="shared" si="12"/>
        <v>Adolescent</v>
      </c>
      <c r="M800">
        <v>25</v>
      </c>
      <c r="N800" t="s">
        <v>15</v>
      </c>
    </row>
    <row r="801" spans="1:14" x14ac:dyDescent="0.3">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3">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3">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3">
      <c r="A804">
        <v>28090</v>
      </c>
      <c r="B804" t="s">
        <v>36</v>
      </c>
      <c r="C804" t="s">
        <v>38</v>
      </c>
      <c r="D804" s="3">
        <v>40000</v>
      </c>
      <c r="E804">
        <v>0</v>
      </c>
      <c r="F804" t="s">
        <v>19</v>
      </c>
      <c r="G804" t="s">
        <v>14</v>
      </c>
      <c r="H804" t="s">
        <v>15</v>
      </c>
      <c r="I804">
        <v>1</v>
      </c>
      <c r="J804" t="s">
        <v>23</v>
      </c>
      <c r="K804" t="s">
        <v>32</v>
      </c>
      <c r="L804" t="str">
        <f t="shared" si="12"/>
        <v>Adolescent</v>
      </c>
      <c r="M804">
        <v>27</v>
      </c>
      <c r="N804" t="s">
        <v>18</v>
      </c>
    </row>
    <row r="805" spans="1:14" x14ac:dyDescent="0.3">
      <c r="A805">
        <v>15255</v>
      </c>
      <c r="B805" t="s">
        <v>36</v>
      </c>
      <c r="C805" t="s">
        <v>38</v>
      </c>
      <c r="D805" s="3">
        <v>40000</v>
      </c>
      <c r="E805">
        <v>0</v>
      </c>
      <c r="F805" t="s">
        <v>27</v>
      </c>
      <c r="G805" t="s">
        <v>14</v>
      </c>
      <c r="H805" t="s">
        <v>15</v>
      </c>
      <c r="I805">
        <v>2</v>
      </c>
      <c r="J805" t="s">
        <v>23</v>
      </c>
      <c r="K805" t="s">
        <v>32</v>
      </c>
      <c r="L805" t="str">
        <f t="shared" si="12"/>
        <v>Adolescent</v>
      </c>
      <c r="M805">
        <v>28</v>
      </c>
      <c r="N805" t="s">
        <v>15</v>
      </c>
    </row>
    <row r="806" spans="1:14" x14ac:dyDescent="0.3">
      <c r="A806">
        <v>13154</v>
      </c>
      <c r="B806" t="s">
        <v>36</v>
      </c>
      <c r="C806" t="s">
        <v>38</v>
      </c>
      <c r="D806" s="3">
        <v>40000</v>
      </c>
      <c r="E806">
        <v>0</v>
      </c>
      <c r="F806" t="s">
        <v>27</v>
      </c>
      <c r="G806" t="s">
        <v>14</v>
      </c>
      <c r="H806" t="s">
        <v>18</v>
      </c>
      <c r="I806">
        <v>2</v>
      </c>
      <c r="J806" t="s">
        <v>16</v>
      </c>
      <c r="K806" t="s">
        <v>32</v>
      </c>
      <c r="L806" t="str">
        <f t="shared" si="12"/>
        <v>Adolescent</v>
      </c>
      <c r="M806">
        <v>27</v>
      </c>
      <c r="N806" t="s">
        <v>15</v>
      </c>
    </row>
    <row r="807" spans="1:14" x14ac:dyDescent="0.3">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3">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3">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3">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3">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3">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3">
      <c r="A814">
        <v>15749</v>
      </c>
      <c r="B814" t="s">
        <v>37</v>
      </c>
      <c r="C814" t="s">
        <v>39</v>
      </c>
      <c r="D814" s="3">
        <v>70000</v>
      </c>
      <c r="E814">
        <v>4</v>
      </c>
      <c r="F814" t="s">
        <v>13</v>
      </c>
      <c r="G814" t="s">
        <v>28</v>
      </c>
      <c r="H814" t="s">
        <v>15</v>
      </c>
      <c r="I814">
        <v>2</v>
      </c>
      <c r="J814" t="s">
        <v>46</v>
      </c>
      <c r="K814" t="s">
        <v>32</v>
      </c>
      <c r="L814" t="str">
        <f t="shared" si="12"/>
        <v>Old</v>
      </c>
      <c r="M814">
        <v>61</v>
      </c>
      <c r="N814" t="s">
        <v>18</v>
      </c>
    </row>
    <row r="815" spans="1:14" x14ac:dyDescent="0.3">
      <c r="A815">
        <v>25899</v>
      </c>
      <c r="B815" t="s">
        <v>36</v>
      </c>
      <c r="C815" t="s">
        <v>39</v>
      </c>
      <c r="D815" s="3">
        <v>70000</v>
      </c>
      <c r="E815">
        <v>2</v>
      </c>
      <c r="F815" t="s">
        <v>27</v>
      </c>
      <c r="G815" t="s">
        <v>21</v>
      </c>
      <c r="H815" t="s">
        <v>15</v>
      </c>
      <c r="I815">
        <v>2</v>
      </c>
      <c r="J815" t="s">
        <v>46</v>
      </c>
      <c r="K815" t="s">
        <v>32</v>
      </c>
      <c r="L815" t="str">
        <f t="shared" si="12"/>
        <v>Middle Age</v>
      </c>
      <c r="M815">
        <v>53</v>
      </c>
      <c r="N815" t="s">
        <v>18</v>
      </c>
    </row>
    <row r="816" spans="1:14" x14ac:dyDescent="0.3">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3">
      <c r="A817">
        <v>23333</v>
      </c>
      <c r="B817" t="s">
        <v>36</v>
      </c>
      <c r="C817" t="s">
        <v>38</v>
      </c>
      <c r="D817" s="3">
        <v>40000</v>
      </c>
      <c r="E817">
        <v>0</v>
      </c>
      <c r="F817" t="s">
        <v>19</v>
      </c>
      <c r="G817" t="s">
        <v>14</v>
      </c>
      <c r="H817" t="s">
        <v>18</v>
      </c>
      <c r="I817">
        <v>2</v>
      </c>
      <c r="J817" t="s">
        <v>26</v>
      </c>
      <c r="K817" t="s">
        <v>32</v>
      </c>
      <c r="L817" t="str">
        <f t="shared" si="12"/>
        <v>Adolescent</v>
      </c>
      <c r="M817">
        <v>30</v>
      </c>
      <c r="N817" t="s">
        <v>18</v>
      </c>
    </row>
    <row r="818" spans="1:14" x14ac:dyDescent="0.3">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
      <c r="A820">
        <v>24514</v>
      </c>
      <c r="B820" t="s">
        <v>36</v>
      </c>
      <c r="C820" t="s">
        <v>38</v>
      </c>
      <c r="D820" s="3">
        <v>40000</v>
      </c>
      <c r="E820">
        <v>0</v>
      </c>
      <c r="F820" t="s">
        <v>19</v>
      </c>
      <c r="G820" t="s">
        <v>14</v>
      </c>
      <c r="H820" t="s">
        <v>15</v>
      </c>
      <c r="I820">
        <v>1</v>
      </c>
      <c r="J820" t="s">
        <v>23</v>
      </c>
      <c r="K820" t="s">
        <v>32</v>
      </c>
      <c r="L820" t="str">
        <f t="shared" si="12"/>
        <v>Adolescent</v>
      </c>
      <c r="M820">
        <v>30</v>
      </c>
      <c r="N820" t="s">
        <v>18</v>
      </c>
    </row>
    <row r="821" spans="1:14" x14ac:dyDescent="0.3">
      <c r="A821">
        <v>27505</v>
      </c>
      <c r="B821" t="s">
        <v>37</v>
      </c>
      <c r="C821" t="s">
        <v>39</v>
      </c>
      <c r="D821" s="3">
        <v>40000</v>
      </c>
      <c r="E821">
        <v>0</v>
      </c>
      <c r="F821" t="s">
        <v>27</v>
      </c>
      <c r="G821" t="s">
        <v>14</v>
      </c>
      <c r="H821" t="s">
        <v>15</v>
      </c>
      <c r="I821">
        <v>2</v>
      </c>
      <c r="J821" t="s">
        <v>23</v>
      </c>
      <c r="K821" t="s">
        <v>32</v>
      </c>
      <c r="L821" t="str">
        <f t="shared" si="12"/>
        <v>Adolescent</v>
      </c>
      <c r="M821">
        <v>30</v>
      </c>
      <c r="N821" t="s">
        <v>18</v>
      </c>
    </row>
    <row r="822" spans="1:14" x14ac:dyDescent="0.3">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3">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3">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3">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3">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3">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3">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3">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3">
      <c r="A830">
        <v>20421</v>
      </c>
      <c r="B830" t="s">
        <v>37</v>
      </c>
      <c r="C830" t="s">
        <v>39</v>
      </c>
      <c r="D830" s="3">
        <v>40000</v>
      </c>
      <c r="E830">
        <v>0</v>
      </c>
      <c r="F830" t="s">
        <v>29</v>
      </c>
      <c r="G830" t="s">
        <v>20</v>
      </c>
      <c r="H830" t="s">
        <v>15</v>
      </c>
      <c r="I830">
        <v>2</v>
      </c>
      <c r="J830" t="s">
        <v>23</v>
      </c>
      <c r="K830" t="s">
        <v>32</v>
      </c>
      <c r="L830" t="str">
        <f t="shared" si="12"/>
        <v>Adolescent</v>
      </c>
      <c r="M830">
        <v>26</v>
      </c>
      <c r="N830" t="s">
        <v>18</v>
      </c>
    </row>
    <row r="831" spans="1:14" x14ac:dyDescent="0.3">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3">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3">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
      <c r="A835">
        <v>27540</v>
      </c>
      <c r="B835" t="s">
        <v>37</v>
      </c>
      <c r="C835" t="s">
        <v>39</v>
      </c>
      <c r="D835" s="3">
        <v>70000</v>
      </c>
      <c r="E835">
        <v>0</v>
      </c>
      <c r="F835" t="s">
        <v>13</v>
      </c>
      <c r="G835" t="s">
        <v>21</v>
      </c>
      <c r="H835" t="s">
        <v>18</v>
      </c>
      <c r="I835">
        <v>1</v>
      </c>
      <c r="J835" t="s">
        <v>16</v>
      </c>
      <c r="K835" t="s">
        <v>32</v>
      </c>
      <c r="L835" t="str">
        <f t="shared" ref="L835:L898" si="13">IF(M835&gt;54,"Old",IF(M835&gt;=31,"Middle Age", IF(M835 &lt;31,"Adolescent","invalid")))</f>
        <v>Middle Age</v>
      </c>
      <c r="M835">
        <v>37</v>
      </c>
      <c r="N835" t="s">
        <v>15</v>
      </c>
    </row>
    <row r="836" spans="1:14" x14ac:dyDescent="0.3">
      <c r="A836">
        <v>19889</v>
      </c>
      <c r="B836" t="s">
        <v>37</v>
      </c>
      <c r="C836" t="s">
        <v>39</v>
      </c>
      <c r="D836" s="3">
        <v>70000</v>
      </c>
      <c r="E836">
        <v>2</v>
      </c>
      <c r="F836" t="s">
        <v>29</v>
      </c>
      <c r="G836" t="s">
        <v>14</v>
      </c>
      <c r="H836" t="s">
        <v>18</v>
      </c>
      <c r="I836">
        <v>2</v>
      </c>
      <c r="J836" t="s">
        <v>22</v>
      </c>
      <c r="K836" t="s">
        <v>32</v>
      </c>
      <c r="L836" t="str">
        <f t="shared" si="13"/>
        <v>Middle Age</v>
      </c>
      <c r="M836">
        <v>54</v>
      </c>
      <c r="N836" t="s">
        <v>15</v>
      </c>
    </row>
    <row r="837" spans="1:14" x14ac:dyDescent="0.3">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3">
      <c r="A838">
        <v>18891</v>
      </c>
      <c r="B838" t="s">
        <v>36</v>
      </c>
      <c r="C838" t="s">
        <v>39</v>
      </c>
      <c r="D838" s="3">
        <v>40000</v>
      </c>
      <c r="E838">
        <v>0</v>
      </c>
      <c r="F838" t="s">
        <v>19</v>
      </c>
      <c r="G838" t="s">
        <v>14</v>
      </c>
      <c r="H838" t="s">
        <v>15</v>
      </c>
      <c r="I838">
        <v>2</v>
      </c>
      <c r="J838" t="s">
        <v>23</v>
      </c>
      <c r="K838" t="s">
        <v>32</v>
      </c>
      <c r="L838" t="str">
        <f t="shared" si="13"/>
        <v>Adolescent</v>
      </c>
      <c r="M838">
        <v>28</v>
      </c>
      <c r="N838" t="s">
        <v>18</v>
      </c>
    </row>
    <row r="839" spans="1:14" x14ac:dyDescent="0.3">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3">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3">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3">
      <c r="A842">
        <v>11233</v>
      </c>
      <c r="B842" t="s">
        <v>36</v>
      </c>
      <c r="C842" t="s">
        <v>38</v>
      </c>
      <c r="D842" s="3">
        <v>70000</v>
      </c>
      <c r="E842">
        <v>4</v>
      </c>
      <c r="F842" t="s">
        <v>19</v>
      </c>
      <c r="G842" t="s">
        <v>21</v>
      </c>
      <c r="H842" t="s">
        <v>15</v>
      </c>
      <c r="I842">
        <v>2</v>
      </c>
      <c r="J842" t="s">
        <v>46</v>
      </c>
      <c r="K842" t="s">
        <v>32</v>
      </c>
      <c r="L842" t="str">
        <f t="shared" si="13"/>
        <v>Middle Age</v>
      </c>
      <c r="M842">
        <v>53</v>
      </c>
      <c r="N842" t="s">
        <v>18</v>
      </c>
    </row>
    <row r="843" spans="1:14" x14ac:dyDescent="0.3">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3">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3">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3">
      <c r="A846">
        <v>22743</v>
      </c>
      <c r="B846" t="s">
        <v>36</v>
      </c>
      <c r="C846" t="s">
        <v>39</v>
      </c>
      <c r="D846" s="3">
        <v>40000</v>
      </c>
      <c r="E846">
        <v>5</v>
      </c>
      <c r="F846" t="s">
        <v>27</v>
      </c>
      <c r="G846" t="s">
        <v>21</v>
      </c>
      <c r="H846" t="s">
        <v>15</v>
      </c>
      <c r="I846">
        <v>2</v>
      </c>
      <c r="J846" t="s">
        <v>46</v>
      </c>
      <c r="K846" t="s">
        <v>32</v>
      </c>
      <c r="L846" t="str">
        <f t="shared" si="13"/>
        <v>Old</v>
      </c>
      <c r="M846">
        <v>60</v>
      </c>
      <c r="N846" t="s">
        <v>18</v>
      </c>
    </row>
    <row r="847" spans="1:14" x14ac:dyDescent="0.3">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3">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3">
      <c r="A849">
        <v>17482</v>
      </c>
      <c r="B849" t="s">
        <v>37</v>
      </c>
      <c r="C849" t="s">
        <v>39</v>
      </c>
      <c r="D849" s="3">
        <v>40000</v>
      </c>
      <c r="E849">
        <v>0</v>
      </c>
      <c r="F849" t="s">
        <v>29</v>
      </c>
      <c r="G849" t="s">
        <v>20</v>
      </c>
      <c r="H849" t="s">
        <v>15</v>
      </c>
      <c r="I849">
        <v>2</v>
      </c>
      <c r="J849" t="s">
        <v>23</v>
      </c>
      <c r="K849" t="s">
        <v>32</v>
      </c>
      <c r="L849" t="str">
        <f t="shared" si="13"/>
        <v>Adolescent</v>
      </c>
      <c r="M849">
        <v>29</v>
      </c>
      <c r="N849" t="s">
        <v>18</v>
      </c>
    </row>
    <row r="850" spans="1:14" x14ac:dyDescent="0.3">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3">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3">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3">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3">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3">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3">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3">
      <c r="A858">
        <v>29052</v>
      </c>
      <c r="B858" t="s">
        <v>37</v>
      </c>
      <c r="C858" t="s">
        <v>38</v>
      </c>
      <c r="D858" s="3">
        <v>40000</v>
      </c>
      <c r="E858">
        <v>0</v>
      </c>
      <c r="F858" t="s">
        <v>19</v>
      </c>
      <c r="G858" t="s">
        <v>14</v>
      </c>
      <c r="H858" t="s">
        <v>15</v>
      </c>
      <c r="I858">
        <v>1</v>
      </c>
      <c r="J858" t="s">
        <v>23</v>
      </c>
      <c r="K858" t="s">
        <v>32</v>
      </c>
      <c r="L858" t="str">
        <f t="shared" si="13"/>
        <v>Adolescent</v>
      </c>
      <c r="M858">
        <v>27</v>
      </c>
      <c r="N858" t="s">
        <v>18</v>
      </c>
    </row>
    <row r="859" spans="1:14" x14ac:dyDescent="0.3">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3">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3">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3">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3">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3">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3">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3">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3">
      <c r="A868">
        <v>28052</v>
      </c>
      <c r="B868" t="s">
        <v>36</v>
      </c>
      <c r="C868" t="s">
        <v>38</v>
      </c>
      <c r="D868" s="3">
        <v>60000</v>
      </c>
      <c r="E868">
        <v>2</v>
      </c>
      <c r="F868" t="s">
        <v>27</v>
      </c>
      <c r="G868" t="s">
        <v>21</v>
      </c>
      <c r="H868" t="s">
        <v>15</v>
      </c>
      <c r="I868">
        <v>2</v>
      </c>
      <c r="J868" t="s">
        <v>46</v>
      </c>
      <c r="K868" t="s">
        <v>32</v>
      </c>
      <c r="L868" t="str">
        <f t="shared" si="13"/>
        <v>Old</v>
      </c>
      <c r="M868">
        <v>55</v>
      </c>
      <c r="N868" t="s">
        <v>18</v>
      </c>
    </row>
    <row r="869" spans="1:14" x14ac:dyDescent="0.3">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3">
      <c r="A870">
        <v>24955</v>
      </c>
      <c r="B870" t="s">
        <v>37</v>
      </c>
      <c r="C870" t="s">
        <v>38</v>
      </c>
      <c r="D870" s="3">
        <v>30000</v>
      </c>
      <c r="E870">
        <v>5</v>
      </c>
      <c r="F870" t="s">
        <v>29</v>
      </c>
      <c r="G870" t="s">
        <v>14</v>
      </c>
      <c r="H870" t="s">
        <v>15</v>
      </c>
      <c r="I870">
        <v>3</v>
      </c>
      <c r="J870" t="s">
        <v>46</v>
      </c>
      <c r="K870" t="s">
        <v>32</v>
      </c>
      <c r="L870" t="str">
        <f t="shared" si="13"/>
        <v>Old</v>
      </c>
      <c r="M870">
        <v>60</v>
      </c>
      <c r="N870" t="s">
        <v>15</v>
      </c>
    </row>
    <row r="871" spans="1:14" x14ac:dyDescent="0.3">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3">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3">
      <c r="A873">
        <v>11219</v>
      </c>
      <c r="B873" t="s">
        <v>36</v>
      </c>
      <c r="C873" t="s">
        <v>38</v>
      </c>
      <c r="D873" s="3">
        <v>60000</v>
      </c>
      <c r="E873">
        <v>2</v>
      </c>
      <c r="F873" t="s">
        <v>27</v>
      </c>
      <c r="G873" t="s">
        <v>21</v>
      </c>
      <c r="H873" t="s">
        <v>15</v>
      </c>
      <c r="I873">
        <v>2</v>
      </c>
      <c r="J873" t="s">
        <v>46</v>
      </c>
      <c r="K873" t="s">
        <v>32</v>
      </c>
      <c r="L873" t="str">
        <f t="shared" si="13"/>
        <v>Old</v>
      </c>
      <c r="M873">
        <v>55</v>
      </c>
      <c r="N873" t="s">
        <v>18</v>
      </c>
    </row>
    <row r="874" spans="1:14" x14ac:dyDescent="0.3">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3">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3">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3">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3">
      <c r="A878">
        <v>18322</v>
      </c>
      <c r="B878" t="s">
        <v>37</v>
      </c>
      <c r="C878" t="s">
        <v>38</v>
      </c>
      <c r="D878" s="3">
        <v>30000</v>
      </c>
      <c r="E878">
        <v>0</v>
      </c>
      <c r="F878" t="s">
        <v>29</v>
      </c>
      <c r="G878" t="s">
        <v>20</v>
      </c>
      <c r="H878" t="s">
        <v>18</v>
      </c>
      <c r="I878">
        <v>2</v>
      </c>
      <c r="J878" t="s">
        <v>16</v>
      </c>
      <c r="K878" t="s">
        <v>32</v>
      </c>
      <c r="L878" t="str">
        <f t="shared" si="13"/>
        <v>Adolescent</v>
      </c>
      <c r="M878">
        <v>26</v>
      </c>
      <c r="N878" t="s">
        <v>18</v>
      </c>
    </row>
    <row r="879" spans="1:14" x14ac:dyDescent="0.3">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3">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3">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3">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3">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3">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3">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3">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3">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3">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3">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3">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3">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3">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3">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3">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
      <c r="A899">
        <v>12029</v>
      </c>
      <c r="B899" t="s">
        <v>36</v>
      </c>
      <c r="C899" t="s">
        <v>38</v>
      </c>
      <c r="D899" s="3">
        <v>30000</v>
      </c>
      <c r="E899">
        <v>0</v>
      </c>
      <c r="F899" t="s">
        <v>29</v>
      </c>
      <c r="G899" t="s">
        <v>20</v>
      </c>
      <c r="H899" t="s">
        <v>18</v>
      </c>
      <c r="I899">
        <v>2</v>
      </c>
      <c r="J899" t="s">
        <v>16</v>
      </c>
      <c r="K899" t="s">
        <v>32</v>
      </c>
      <c r="L899" t="str">
        <f t="shared" ref="L899:L962" si="14">IF(M899&gt;54,"Old",IF(M899&gt;=31,"Middle Age", IF(M899 &lt;31,"Adolescent","invalid")))</f>
        <v>Adolescent</v>
      </c>
      <c r="M899">
        <v>28</v>
      </c>
      <c r="N899" t="s">
        <v>18</v>
      </c>
    </row>
    <row r="900" spans="1:14" x14ac:dyDescent="0.3">
      <c r="A900">
        <v>18066</v>
      </c>
      <c r="B900" t="s">
        <v>37</v>
      </c>
      <c r="C900" t="s">
        <v>38</v>
      </c>
      <c r="D900" s="3">
        <v>70000</v>
      </c>
      <c r="E900">
        <v>5</v>
      </c>
      <c r="F900" t="s">
        <v>13</v>
      </c>
      <c r="G900" t="s">
        <v>28</v>
      </c>
      <c r="H900" t="s">
        <v>15</v>
      </c>
      <c r="I900">
        <v>3</v>
      </c>
      <c r="J900" t="s">
        <v>46</v>
      </c>
      <c r="K900" t="s">
        <v>32</v>
      </c>
      <c r="L900" t="str">
        <f t="shared" si="14"/>
        <v>Old</v>
      </c>
      <c r="M900">
        <v>60</v>
      </c>
      <c r="N900" t="s">
        <v>15</v>
      </c>
    </row>
    <row r="901" spans="1:14" x14ac:dyDescent="0.3">
      <c r="A901">
        <v>28192</v>
      </c>
      <c r="B901" t="s">
        <v>36</v>
      </c>
      <c r="C901" t="s">
        <v>39</v>
      </c>
      <c r="D901" s="3">
        <v>70000</v>
      </c>
      <c r="E901">
        <v>5</v>
      </c>
      <c r="F901" t="s">
        <v>31</v>
      </c>
      <c r="G901" t="s">
        <v>21</v>
      </c>
      <c r="H901" t="s">
        <v>15</v>
      </c>
      <c r="I901">
        <v>3</v>
      </c>
      <c r="J901" t="s">
        <v>46</v>
      </c>
      <c r="K901" t="s">
        <v>32</v>
      </c>
      <c r="L901" t="str">
        <f t="shared" si="14"/>
        <v>Middle Age</v>
      </c>
      <c r="M901">
        <v>46</v>
      </c>
      <c r="N901" t="s">
        <v>18</v>
      </c>
    </row>
    <row r="902" spans="1:14" x14ac:dyDescent="0.3">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3">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3">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3">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3">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3">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3">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3">
      <c r="A909">
        <v>19747</v>
      </c>
      <c r="B909" t="s">
        <v>36</v>
      </c>
      <c r="C909" t="s">
        <v>38</v>
      </c>
      <c r="D909" s="3">
        <v>50000</v>
      </c>
      <c r="E909">
        <v>4</v>
      </c>
      <c r="F909" t="s">
        <v>13</v>
      </c>
      <c r="G909" t="s">
        <v>28</v>
      </c>
      <c r="H909" t="s">
        <v>15</v>
      </c>
      <c r="I909">
        <v>2</v>
      </c>
      <c r="J909" t="s">
        <v>46</v>
      </c>
      <c r="K909" t="s">
        <v>32</v>
      </c>
      <c r="L909" t="str">
        <f t="shared" si="14"/>
        <v>Old</v>
      </c>
      <c r="M909">
        <v>63</v>
      </c>
      <c r="N909" t="s">
        <v>18</v>
      </c>
    </row>
    <row r="910" spans="1:14" x14ac:dyDescent="0.3">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3">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3">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3">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3">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3">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3">
      <c r="A917">
        <v>21752</v>
      </c>
      <c r="B917" t="s">
        <v>36</v>
      </c>
      <c r="C917" t="s">
        <v>38</v>
      </c>
      <c r="D917" s="3">
        <v>60000</v>
      </c>
      <c r="E917">
        <v>3</v>
      </c>
      <c r="F917" t="s">
        <v>31</v>
      </c>
      <c r="G917" t="s">
        <v>28</v>
      </c>
      <c r="H917" t="s">
        <v>15</v>
      </c>
      <c r="I917">
        <v>2</v>
      </c>
      <c r="J917" t="s">
        <v>46</v>
      </c>
      <c r="K917" t="s">
        <v>32</v>
      </c>
      <c r="L917" t="str">
        <f t="shared" si="14"/>
        <v>Old</v>
      </c>
      <c r="M917">
        <v>64</v>
      </c>
      <c r="N917" t="s">
        <v>18</v>
      </c>
    </row>
    <row r="918" spans="1:14" x14ac:dyDescent="0.3">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3">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3">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3">
      <c r="A921">
        <v>21451</v>
      </c>
      <c r="B921" t="s">
        <v>36</v>
      </c>
      <c r="C921" t="s">
        <v>39</v>
      </c>
      <c r="D921" s="3">
        <v>40000</v>
      </c>
      <c r="E921">
        <v>4</v>
      </c>
      <c r="F921" t="s">
        <v>27</v>
      </c>
      <c r="G921" t="s">
        <v>21</v>
      </c>
      <c r="H921" t="s">
        <v>15</v>
      </c>
      <c r="I921">
        <v>2</v>
      </c>
      <c r="J921" t="s">
        <v>46</v>
      </c>
      <c r="K921" t="s">
        <v>32</v>
      </c>
      <c r="L921" t="str">
        <f t="shared" si="14"/>
        <v>Old</v>
      </c>
      <c r="M921">
        <v>61</v>
      </c>
      <c r="N921" t="s">
        <v>18</v>
      </c>
    </row>
    <row r="922" spans="1:14" x14ac:dyDescent="0.3">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3">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3">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3">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3">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3">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3">
      <c r="A928">
        <v>26495</v>
      </c>
      <c r="B928" t="s">
        <v>37</v>
      </c>
      <c r="C928" t="s">
        <v>39</v>
      </c>
      <c r="D928" s="3">
        <v>40000</v>
      </c>
      <c r="E928">
        <v>2</v>
      </c>
      <c r="F928" t="s">
        <v>27</v>
      </c>
      <c r="G928" t="s">
        <v>21</v>
      </c>
      <c r="H928" t="s">
        <v>15</v>
      </c>
      <c r="I928">
        <v>2</v>
      </c>
      <c r="J928" t="s">
        <v>46</v>
      </c>
      <c r="K928" t="s">
        <v>32</v>
      </c>
      <c r="L928" t="str">
        <f t="shared" si="14"/>
        <v>Old</v>
      </c>
      <c r="M928">
        <v>57</v>
      </c>
      <c r="N928" t="s">
        <v>18</v>
      </c>
    </row>
    <row r="929" spans="1:14" x14ac:dyDescent="0.3">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3">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3">
      <c r="A932">
        <v>19543</v>
      </c>
      <c r="B932" t="s">
        <v>36</v>
      </c>
      <c r="C932" t="s">
        <v>38</v>
      </c>
      <c r="D932" s="3">
        <v>70000</v>
      </c>
      <c r="E932">
        <v>5</v>
      </c>
      <c r="F932" t="s">
        <v>31</v>
      </c>
      <c r="G932" t="s">
        <v>21</v>
      </c>
      <c r="H932" t="s">
        <v>18</v>
      </c>
      <c r="I932">
        <v>3</v>
      </c>
      <c r="J932" t="s">
        <v>46</v>
      </c>
      <c r="K932" t="s">
        <v>32</v>
      </c>
      <c r="L932" t="str">
        <f t="shared" si="14"/>
        <v>Middle Age</v>
      </c>
      <c r="M932">
        <v>47</v>
      </c>
      <c r="N932" t="s">
        <v>18</v>
      </c>
    </row>
    <row r="933" spans="1:14" x14ac:dyDescent="0.3">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3">
      <c r="A934">
        <v>12033</v>
      </c>
      <c r="B934" t="s">
        <v>37</v>
      </c>
      <c r="C934" t="s">
        <v>39</v>
      </c>
      <c r="D934" s="3">
        <v>40000</v>
      </c>
      <c r="E934">
        <v>0</v>
      </c>
      <c r="F934" t="s">
        <v>27</v>
      </c>
      <c r="G934" t="s">
        <v>14</v>
      </c>
      <c r="H934" t="s">
        <v>18</v>
      </c>
      <c r="I934">
        <v>2</v>
      </c>
      <c r="J934" t="s">
        <v>16</v>
      </c>
      <c r="K934" t="s">
        <v>32</v>
      </c>
      <c r="L934" t="str">
        <f t="shared" si="14"/>
        <v>Adolescent</v>
      </c>
      <c r="M934">
        <v>27</v>
      </c>
      <c r="N934" t="s">
        <v>15</v>
      </c>
    </row>
    <row r="935" spans="1:14" x14ac:dyDescent="0.3">
      <c r="A935">
        <v>11941</v>
      </c>
      <c r="B935" t="s">
        <v>37</v>
      </c>
      <c r="C935" t="s">
        <v>38</v>
      </c>
      <c r="D935" s="3">
        <v>60000</v>
      </c>
      <c r="E935">
        <v>0</v>
      </c>
      <c r="F935" t="s">
        <v>19</v>
      </c>
      <c r="G935" t="s">
        <v>14</v>
      </c>
      <c r="H935" t="s">
        <v>15</v>
      </c>
      <c r="I935">
        <v>0</v>
      </c>
      <c r="J935" t="s">
        <v>23</v>
      </c>
      <c r="K935" t="s">
        <v>32</v>
      </c>
      <c r="L935" t="str">
        <f t="shared" si="14"/>
        <v>Adolescent</v>
      </c>
      <c r="M935">
        <v>29</v>
      </c>
      <c r="N935" t="s">
        <v>18</v>
      </c>
    </row>
    <row r="936" spans="1:14" x14ac:dyDescent="0.3">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3">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3">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3">
      <c r="A940">
        <v>27740</v>
      </c>
      <c r="B940" t="s">
        <v>36</v>
      </c>
      <c r="C940" t="s">
        <v>39</v>
      </c>
      <c r="D940" s="3">
        <v>40000</v>
      </c>
      <c r="E940">
        <v>0</v>
      </c>
      <c r="F940" t="s">
        <v>27</v>
      </c>
      <c r="G940" t="s">
        <v>14</v>
      </c>
      <c r="H940" t="s">
        <v>15</v>
      </c>
      <c r="I940">
        <v>2</v>
      </c>
      <c r="J940" t="s">
        <v>23</v>
      </c>
      <c r="K940" t="s">
        <v>32</v>
      </c>
      <c r="L940" t="str">
        <f t="shared" si="14"/>
        <v>Adolescent</v>
      </c>
      <c r="M940">
        <v>27</v>
      </c>
      <c r="N940" t="s">
        <v>18</v>
      </c>
    </row>
    <row r="941" spans="1:14" x14ac:dyDescent="0.3">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3">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3">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3">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3">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3">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3">
      <c r="A951">
        <v>28056</v>
      </c>
      <c r="B951" t="s">
        <v>36</v>
      </c>
      <c r="C951" t="s">
        <v>38</v>
      </c>
      <c r="D951" s="3">
        <v>70000</v>
      </c>
      <c r="E951">
        <v>2</v>
      </c>
      <c r="F951" t="s">
        <v>29</v>
      </c>
      <c r="G951" t="s">
        <v>14</v>
      </c>
      <c r="H951" t="s">
        <v>15</v>
      </c>
      <c r="I951">
        <v>2</v>
      </c>
      <c r="J951" t="s">
        <v>46</v>
      </c>
      <c r="K951" t="s">
        <v>32</v>
      </c>
      <c r="L951" t="str">
        <f t="shared" si="14"/>
        <v>Middle Age</v>
      </c>
      <c r="M951">
        <v>53</v>
      </c>
      <c r="N951" t="s">
        <v>18</v>
      </c>
    </row>
    <row r="952" spans="1:14" x14ac:dyDescent="0.3">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3">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3">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
      <c r="A955">
        <v>17654</v>
      </c>
      <c r="B955" t="s">
        <v>37</v>
      </c>
      <c r="C955" t="s">
        <v>39</v>
      </c>
      <c r="D955" s="3">
        <v>40000</v>
      </c>
      <c r="E955">
        <v>3</v>
      </c>
      <c r="F955" t="s">
        <v>19</v>
      </c>
      <c r="G955" t="s">
        <v>20</v>
      </c>
      <c r="H955" t="s">
        <v>15</v>
      </c>
      <c r="I955">
        <v>1</v>
      </c>
      <c r="J955" t="s">
        <v>26</v>
      </c>
      <c r="K955" t="s">
        <v>32</v>
      </c>
      <c r="L955" t="str">
        <f t="shared" si="14"/>
        <v>Adolescent</v>
      </c>
      <c r="M955">
        <v>30</v>
      </c>
      <c r="N955" t="s">
        <v>15</v>
      </c>
    </row>
    <row r="956" spans="1:14" x14ac:dyDescent="0.3">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3">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
      <c r="A959">
        <v>13073</v>
      </c>
      <c r="B959" t="s">
        <v>36</v>
      </c>
      <c r="C959" t="s">
        <v>39</v>
      </c>
      <c r="D959" s="3">
        <v>60000</v>
      </c>
      <c r="E959">
        <v>0</v>
      </c>
      <c r="F959" t="s">
        <v>19</v>
      </c>
      <c r="G959" t="s">
        <v>21</v>
      </c>
      <c r="H959" t="s">
        <v>15</v>
      </c>
      <c r="I959">
        <v>2</v>
      </c>
      <c r="J959" t="s">
        <v>23</v>
      </c>
      <c r="K959" t="s">
        <v>32</v>
      </c>
      <c r="L959" t="str">
        <f t="shared" si="14"/>
        <v>Adolescent</v>
      </c>
      <c r="M959">
        <v>30</v>
      </c>
      <c r="N959" t="s">
        <v>18</v>
      </c>
    </row>
    <row r="960" spans="1:14" x14ac:dyDescent="0.3">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3">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3">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3">
      <c r="A963">
        <v>16651</v>
      </c>
      <c r="B963" t="s">
        <v>36</v>
      </c>
      <c r="C963" t="s">
        <v>39</v>
      </c>
      <c r="D963" s="3">
        <v>120000</v>
      </c>
      <c r="E963">
        <v>2</v>
      </c>
      <c r="F963" t="s">
        <v>13</v>
      </c>
      <c r="G963" t="s">
        <v>28</v>
      </c>
      <c r="H963" t="s">
        <v>15</v>
      </c>
      <c r="I963">
        <v>3</v>
      </c>
      <c r="J963" t="s">
        <v>23</v>
      </c>
      <c r="K963" t="s">
        <v>32</v>
      </c>
      <c r="L963" t="str">
        <f t="shared" ref="L963:L1001" si="15">IF(M963&gt;54,"Old",IF(M963&gt;=31,"Middle Age", IF(M963 &lt;31,"Adolescent","invalid")))</f>
        <v>Old</v>
      </c>
      <c r="M963">
        <v>62</v>
      </c>
      <c r="N963" t="s">
        <v>18</v>
      </c>
    </row>
    <row r="964" spans="1:14" x14ac:dyDescent="0.3">
      <c r="A964">
        <v>16813</v>
      </c>
      <c r="B964" t="s">
        <v>36</v>
      </c>
      <c r="C964" t="s">
        <v>38</v>
      </c>
      <c r="D964" s="3">
        <v>60000</v>
      </c>
      <c r="E964">
        <v>2</v>
      </c>
      <c r="F964" t="s">
        <v>19</v>
      </c>
      <c r="G964" t="s">
        <v>21</v>
      </c>
      <c r="H964" t="s">
        <v>15</v>
      </c>
      <c r="I964">
        <v>2</v>
      </c>
      <c r="J964" t="s">
        <v>46</v>
      </c>
      <c r="K964" t="s">
        <v>32</v>
      </c>
      <c r="L964" t="str">
        <f t="shared" si="15"/>
        <v>Old</v>
      </c>
      <c r="M964">
        <v>55</v>
      </c>
      <c r="N964" t="s">
        <v>18</v>
      </c>
    </row>
    <row r="965" spans="1:14" x14ac:dyDescent="0.3">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
      <c r="A966">
        <v>27434</v>
      </c>
      <c r="B966" t="s">
        <v>37</v>
      </c>
      <c r="C966" t="s">
        <v>38</v>
      </c>
      <c r="D966" s="3">
        <v>70000</v>
      </c>
      <c r="E966">
        <v>4</v>
      </c>
      <c r="F966" t="s">
        <v>19</v>
      </c>
      <c r="G966" t="s">
        <v>21</v>
      </c>
      <c r="H966" t="s">
        <v>15</v>
      </c>
      <c r="I966">
        <v>1</v>
      </c>
      <c r="J966" t="s">
        <v>46</v>
      </c>
      <c r="K966" t="s">
        <v>32</v>
      </c>
      <c r="L966" t="str">
        <f t="shared" si="15"/>
        <v>Old</v>
      </c>
      <c r="M966">
        <v>56</v>
      </c>
      <c r="N966" t="s">
        <v>18</v>
      </c>
    </row>
    <row r="967" spans="1:14" x14ac:dyDescent="0.3">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3">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3">
      <c r="A970">
        <v>18329</v>
      </c>
      <c r="B970" t="s">
        <v>37</v>
      </c>
      <c r="C970" t="s">
        <v>38</v>
      </c>
      <c r="D970" s="3">
        <v>30000</v>
      </c>
      <c r="E970">
        <v>0</v>
      </c>
      <c r="F970" t="s">
        <v>29</v>
      </c>
      <c r="G970" t="s">
        <v>20</v>
      </c>
      <c r="H970" t="s">
        <v>18</v>
      </c>
      <c r="I970">
        <v>2</v>
      </c>
      <c r="J970" t="s">
        <v>23</v>
      </c>
      <c r="K970" t="s">
        <v>32</v>
      </c>
      <c r="L970" t="str">
        <f t="shared" si="15"/>
        <v>Adolescent</v>
      </c>
      <c r="M970">
        <v>27</v>
      </c>
      <c r="N970" t="s">
        <v>18</v>
      </c>
    </row>
    <row r="971" spans="1:14" x14ac:dyDescent="0.3">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3">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3">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3">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3">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3">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3">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3">
      <c r="A978">
        <v>28004</v>
      </c>
      <c r="B978" t="s">
        <v>36</v>
      </c>
      <c r="C978" t="s">
        <v>39</v>
      </c>
      <c r="D978" s="3">
        <v>60000</v>
      </c>
      <c r="E978">
        <v>3</v>
      </c>
      <c r="F978" t="s">
        <v>13</v>
      </c>
      <c r="G978" t="s">
        <v>28</v>
      </c>
      <c r="H978" t="s">
        <v>15</v>
      </c>
      <c r="I978">
        <v>2</v>
      </c>
      <c r="J978" t="s">
        <v>46</v>
      </c>
      <c r="K978" t="s">
        <v>32</v>
      </c>
      <c r="L978" t="str">
        <f t="shared" si="15"/>
        <v>Old</v>
      </c>
      <c r="M978">
        <v>66</v>
      </c>
      <c r="N978" t="s">
        <v>18</v>
      </c>
    </row>
    <row r="979" spans="1:14" x14ac:dyDescent="0.3">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3">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3">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3">
      <c r="A982">
        <v>18594</v>
      </c>
      <c r="B982" t="s">
        <v>37</v>
      </c>
      <c r="C982" t="s">
        <v>39</v>
      </c>
      <c r="D982" s="3">
        <v>80000</v>
      </c>
      <c r="E982">
        <v>3</v>
      </c>
      <c r="F982" t="s">
        <v>13</v>
      </c>
      <c r="G982" t="s">
        <v>14</v>
      </c>
      <c r="H982" t="s">
        <v>15</v>
      </c>
      <c r="I982">
        <v>3</v>
      </c>
      <c r="J982" t="s">
        <v>46</v>
      </c>
      <c r="K982" t="s">
        <v>32</v>
      </c>
      <c r="L982" t="str">
        <f t="shared" si="15"/>
        <v>Middle Age</v>
      </c>
      <c r="M982">
        <v>40</v>
      </c>
      <c r="N982" t="s">
        <v>15</v>
      </c>
    </row>
    <row r="983" spans="1:14" x14ac:dyDescent="0.3">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3">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3">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3">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3">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3">
      <c r="A988">
        <v>23704</v>
      </c>
      <c r="B988" t="s">
        <v>37</v>
      </c>
      <c r="C988" t="s">
        <v>38</v>
      </c>
      <c r="D988" s="3">
        <v>40000</v>
      </c>
      <c r="E988">
        <v>5</v>
      </c>
      <c r="F988" t="s">
        <v>27</v>
      </c>
      <c r="G988" t="s">
        <v>21</v>
      </c>
      <c r="H988" t="s">
        <v>15</v>
      </c>
      <c r="I988">
        <v>4</v>
      </c>
      <c r="J988" t="s">
        <v>46</v>
      </c>
      <c r="K988" t="s">
        <v>32</v>
      </c>
      <c r="L988" t="str">
        <f t="shared" si="15"/>
        <v>Old</v>
      </c>
      <c r="M988">
        <v>60</v>
      </c>
      <c r="N988" t="s">
        <v>15</v>
      </c>
    </row>
    <row r="989" spans="1:14" x14ac:dyDescent="0.3">
      <c r="A989">
        <v>28972</v>
      </c>
      <c r="B989" t="s">
        <v>37</v>
      </c>
      <c r="C989" t="s">
        <v>39</v>
      </c>
      <c r="D989" s="3">
        <v>60000</v>
      </c>
      <c r="E989">
        <v>3</v>
      </c>
      <c r="F989" t="s">
        <v>31</v>
      </c>
      <c r="G989" t="s">
        <v>28</v>
      </c>
      <c r="H989" t="s">
        <v>15</v>
      </c>
      <c r="I989">
        <v>2</v>
      </c>
      <c r="J989" t="s">
        <v>46</v>
      </c>
      <c r="K989" t="s">
        <v>32</v>
      </c>
      <c r="L989" t="str">
        <f t="shared" si="15"/>
        <v>Old</v>
      </c>
      <c r="M989">
        <v>66</v>
      </c>
      <c r="N989" t="s">
        <v>18</v>
      </c>
    </row>
    <row r="990" spans="1:14" x14ac:dyDescent="0.3">
      <c r="A990">
        <v>22730</v>
      </c>
      <c r="B990" t="s">
        <v>36</v>
      </c>
      <c r="C990" t="s">
        <v>38</v>
      </c>
      <c r="D990" s="3">
        <v>70000</v>
      </c>
      <c r="E990">
        <v>5</v>
      </c>
      <c r="F990" t="s">
        <v>13</v>
      </c>
      <c r="G990" t="s">
        <v>28</v>
      </c>
      <c r="H990" t="s">
        <v>15</v>
      </c>
      <c r="I990">
        <v>2</v>
      </c>
      <c r="J990" t="s">
        <v>46</v>
      </c>
      <c r="K990" t="s">
        <v>32</v>
      </c>
      <c r="L990" t="str">
        <f t="shared" si="15"/>
        <v>Old</v>
      </c>
      <c r="M990">
        <v>63</v>
      </c>
      <c r="N990" t="s">
        <v>18</v>
      </c>
    </row>
    <row r="991" spans="1:14" x14ac:dyDescent="0.3">
      <c r="A991">
        <v>29134</v>
      </c>
      <c r="B991" t="s">
        <v>36</v>
      </c>
      <c r="C991" t="s">
        <v>38</v>
      </c>
      <c r="D991" s="3">
        <v>60000</v>
      </c>
      <c r="E991">
        <v>4</v>
      </c>
      <c r="F991" t="s">
        <v>13</v>
      </c>
      <c r="G991" t="s">
        <v>14</v>
      </c>
      <c r="H991" t="s">
        <v>18</v>
      </c>
      <c r="I991">
        <v>3</v>
      </c>
      <c r="J991" t="s">
        <v>46</v>
      </c>
      <c r="K991" t="s">
        <v>32</v>
      </c>
      <c r="L991" t="str">
        <f t="shared" si="15"/>
        <v>Middle Age</v>
      </c>
      <c r="M991">
        <v>42</v>
      </c>
      <c r="N991" t="s">
        <v>18</v>
      </c>
    </row>
    <row r="992" spans="1:14" x14ac:dyDescent="0.3">
      <c r="A992">
        <v>14332</v>
      </c>
      <c r="B992" t="s">
        <v>37</v>
      </c>
      <c r="C992" t="s">
        <v>39</v>
      </c>
      <c r="D992" s="3">
        <v>30000</v>
      </c>
      <c r="E992">
        <v>0</v>
      </c>
      <c r="F992" t="s">
        <v>27</v>
      </c>
      <c r="G992" t="s">
        <v>14</v>
      </c>
      <c r="H992" t="s">
        <v>18</v>
      </c>
      <c r="I992">
        <v>2</v>
      </c>
      <c r="J992" t="s">
        <v>23</v>
      </c>
      <c r="K992" t="s">
        <v>32</v>
      </c>
      <c r="L992" t="str">
        <f t="shared" si="15"/>
        <v>Adolescent</v>
      </c>
      <c r="M992">
        <v>26</v>
      </c>
      <c r="N992" t="s">
        <v>18</v>
      </c>
    </row>
    <row r="993" spans="1:14" x14ac:dyDescent="0.3">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3">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3">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3">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3">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3">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3">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3">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3">
      <c r="A1001">
        <v>12121</v>
      </c>
      <c r="B1001" t="s">
        <v>37</v>
      </c>
      <c r="C1001" t="s">
        <v>38</v>
      </c>
      <c r="D1001" s="3">
        <v>60000</v>
      </c>
      <c r="E1001">
        <v>3</v>
      </c>
      <c r="F1001" t="s">
        <v>27</v>
      </c>
      <c r="G1001" t="s">
        <v>21</v>
      </c>
      <c r="H1001" t="s">
        <v>15</v>
      </c>
      <c r="I1001">
        <v>2</v>
      </c>
      <c r="J1001" t="s">
        <v>46</v>
      </c>
      <c r="K1001" t="s">
        <v>32</v>
      </c>
      <c r="L1001" t="str">
        <f t="shared" si="15"/>
        <v>Middle Age</v>
      </c>
      <c r="M1001">
        <v>53</v>
      </c>
      <c r="N1001" t="s">
        <v>15</v>
      </c>
    </row>
  </sheetData>
  <autoFilter ref="A1:N1001" xr:uid="{6E310869-48B8-4CD4-B9DB-7F85C234B0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KHATRI</dc:creator>
  <cp:lastModifiedBy>KHUSHI KHATRI</cp:lastModifiedBy>
  <dcterms:created xsi:type="dcterms:W3CDTF">2022-03-18T02:50:57Z</dcterms:created>
  <dcterms:modified xsi:type="dcterms:W3CDTF">2026-07-05T17:50:37Z</dcterms:modified>
</cp:coreProperties>
</file>